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bookViews>
  <sheets>
    <sheet name="Sheet1" sheetId="1" r:id="rId1"/>
    <sheet name="Sheet1 (2)" sheetId="4" r:id="rId2"/>
    <sheet name="Sheet2" sheetId="2" r:id="rId3"/>
    <sheet name="Sheet3"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<sst xmlns="http://schemas.openxmlformats.org/spreadsheetml/2006/main" count="366" uniqueCount="182">
  <si>
    <t>序号</t>
  </si>
  <si>
    <t>模块名称</t>
  </si>
  <si>
    <t>说明</t>
  </si>
  <si>
    <t>单价</t>
  </si>
  <si>
    <t>工作量（人月）</t>
  </si>
  <si>
    <t>总计</t>
  </si>
  <si>
    <r>
      <rPr>
        <b/>
        <sz val="12"/>
        <color theme="1"/>
        <rFont val="仿宋"/>
        <charset val="134"/>
      </rPr>
      <t>（万元</t>
    </r>
    <r>
      <rPr>
        <b/>
        <sz val="12"/>
        <color theme="1"/>
        <rFont val="仿宋"/>
        <charset val="134"/>
      </rPr>
      <t>/</t>
    </r>
    <r>
      <rPr>
        <b/>
        <sz val="12"/>
        <color theme="1"/>
        <rFont val="仿宋"/>
        <charset val="134"/>
      </rPr>
      <t>人月）</t>
    </r>
  </si>
  <si>
    <t>（万元）</t>
  </si>
  <si>
    <r>
      <rPr>
        <sz val="12"/>
        <color theme="1"/>
        <rFont val="仿宋"/>
        <charset val="134"/>
      </rPr>
      <t>1</t>
    </r>
    <r>
      <rPr>
        <sz val="12"/>
        <color theme="1"/>
        <rFont val="仿宋"/>
        <charset val="134"/>
      </rPr>
      <t> </t>
    </r>
  </si>
  <si>
    <t>页面优化</t>
  </si>
  <si>
    <t>海关事务网页化改造</t>
  </si>
  <si>
    <r>
      <rPr>
        <sz val="12"/>
        <color theme="1"/>
        <rFont val="仿宋"/>
        <charset val="134"/>
      </rPr>
      <t>对现有的海关事务进行网页化改造，制作成独立的网页游客版。该网页版将沿用帮办原排版样式，但在颜色和风格上需与一网通办保持一致，采用金黄色调。网页中的每条信息均可单独查看。信息提交页面将全部留空，由游客自行填写相关内容。该网页版将采用独立的</t>
    </r>
    <r>
      <rPr>
        <sz val="12"/>
        <color theme="1"/>
        <rFont val="仿宋"/>
        <charset val="134"/>
      </rPr>
      <t>https</t>
    </r>
    <r>
      <rPr>
        <sz val="12"/>
        <color theme="1"/>
        <rFont val="仿宋"/>
        <charset val="134"/>
      </rPr>
      <t>页面展示，与帮办页面不关联，同时适配电脑和手机端访问，以满足不同用户群体的使用需求。</t>
    </r>
  </si>
  <si>
    <r>
      <rPr>
        <sz val="12"/>
        <color theme="1"/>
        <rFont val="仿宋"/>
        <charset val="134"/>
      </rPr>
      <t>2</t>
    </r>
    <r>
      <rPr>
        <sz val="12"/>
        <color theme="1"/>
        <rFont val="仿宋"/>
        <charset val="134"/>
      </rPr>
      <t> </t>
    </r>
  </si>
  <si>
    <t>黄浦外籍人士服务工作台</t>
  </si>
  <si>
    <r>
      <rPr>
        <sz val="12"/>
        <color theme="1"/>
        <rFont val="仿宋"/>
        <charset val="134"/>
      </rPr>
      <t>将提供英语、阿拉伯语、日语、韩语、法语等</t>
    </r>
    <r>
      <rPr>
        <sz val="12"/>
        <color theme="1"/>
        <rFont val="仿宋"/>
        <charset val="134"/>
      </rPr>
      <t>8</t>
    </r>
    <r>
      <rPr>
        <sz val="12"/>
        <color theme="1"/>
        <rFont val="仿宋"/>
        <charset val="134"/>
      </rPr>
      <t>种外语界面，用户可自由切换语言，具体内容链接到上海市外事办网站</t>
    </r>
    <r>
      <rPr>
        <sz val="12"/>
        <color theme="1"/>
        <rFont val="仿宋"/>
        <charset val="134"/>
      </rPr>
      <t>https://english.shanghai.gov.cn/</t>
    </r>
    <r>
      <rPr>
        <sz val="12"/>
        <color theme="1"/>
        <rFont val="仿宋"/>
        <charset val="134"/>
      </rPr>
      <t>，以满足不同国家和地区用户的需求。界面的整体风格将符合公司</t>
    </r>
    <r>
      <rPr>
        <sz val="12"/>
        <color theme="1"/>
        <rFont val="仿宋"/>
        <charset val="134"/>
      </rPr>
      <t>A</t>
    </r>
    <r>
      <rPr>
        <sz val="12"/>
        <color theme="1"/>
        <rFont val="仿宋"/>
        <charset val="134"/>
      </rPr>
      <t>款自助终端界面的要求，实现本地静态页面部署。</t>
    </r>
  </si>
  <si>
    <r>
      <rPr>
        <sz val="12"/>
        <color theme="1"/>
        <rFont val="仿宋"/>
        <charset val="134"/>
      </rPr>
      <t>3</t>
    </r>
    <r>
      <rPr>
        <sz val="12"/>
        <color theme="1"/>
        <rFont val="仿宋"/>
        <charset val="134"/>
      </rPr>
      <t> </t>
    </r>
  </si>
  <si>
    <t>职业技能独立活动</t>
  </si>
  <si>
    <r>
      <rPr>
        <sz val="12"/>
        <color theme="1"/>
        <rFont val="仿宋"/>
        <charset val="134"/>
      </rPr>
      <t>制作</t>
    </r>
    <r>
      <rPr>
        <sz val="12"/>
        <color theme="1"/>
        <rFont val="仿宋"/>
        <charset val="134"/>
      </rPr>
      <t>PAD</t>
    </r>
    <r>
      <rPr>
        <sz val="12"/>
        <color theme="1"/>
        <rFont val="仿宋"/>
        <charset val="134"/>
      </rPr>
      <t>版职业技能应用，该模块包含三个可编辑板块：企业职工职业技能提升、职业技能培训机构以及技能等级认定问答。职业技能培训机构板块可查看黄浦区培训机构信息情况文档，技能等级认定问答板块则可进入问答页面。进入企业职工职业技能提升的三个子板块页面后，每条信息均可单独查看，并且能够单条政策推送到一网通办。</t>
    </r>
  </si>
  <si>
    <r>
      <rPr>
        <sz val="12"/>
        <color theme="1"/>
        <rFont val="仿宋"/>
        <charset val="134"/>
      </rPr>
      <t>4</t>
    </r>
    <r>
      <rPr>
        <sz val="12"/>
        <color theme="1"/>
        <rFont val="仿宋"/>
        <charset val="134"/>
      </rPr>
      <t> </t>
    </r>
  </si>
  <si>
    <t>企业信息录入</t>
  </si>
  <si>
    <r>
      <rPr>
        <sz val="12"/>
        <color theme="1"/>
        <rFont val="仿宋"/>
        <charset val="134"/>
      </rPr>
      <t>在</t>
    </r>
    <r>
      <rPr>
        <sz val="12"/>
        <color theme="1"/>
        <rFont val="仿宋"/>
        <charset val="134"/>
      </rPr>
      <t>PC</t>
    </r>
    <r>
      <rPr>
        <sz val="12"/>
        <color theme="1"/>
        <rFont val="仿宋"/>
        <charset val="134"/>
      </rPr>
      <t>端增加“企业信息录入”按钮，方便用户快速进入信息录入界面。</t>
    </r>
  </si>
  <si>
    <t>前端展示页将展示包括序号、日期、公司名称、行业类别、注册资本、街道、住所、联系人、联系电话等信息。</t>
  </si>
  <si>
    <t>提供筛选功能，支持按企业名称、街道、时间等条件进行模糊查询，方便用户快速找到所需信息。</t>
  </si>
  <si>
    <r>
      <rPr>
        <sz val="12"/>
        <color theme="1"/>
        <rFont val="仿宋"/>
        <charset val="134"/>
      </rPr>
      <t>前端“新增”功能通过企业码扫码录入，扫码后扫码框自动消失，并展示</t>
    </r>
    <r>
      <rPr>
        <sz val="12"/>
        <color theme="1"/>
        <rFont val="仿宋"/>
        <charset val="134"/>
      </rPr>
      <t>Excel</t>
    </r>
    <r>
      <rPr>
        <sz val="12"/>
        <color theme="1"/>
        <rFont val="仿宋"/>
        <charset val="134"/>
      </rPr>
      <t>表格中的所有元素，其中四项可自行填写并编辑，其余元素不可编辑。</t>
    </r>
  </si>
  <si>
    <t>前端展示的所有数据均为“生效”状态的数据。</t>
  </si>
  <si>
    <t>管理后台的“企业信息录入”管理界面将展示序号、日期、公司名称、行业类别、注册资本、街道、住所、联系人、联系电话等信息，并增加“生效”和“不生效”操作按钮，方便管理人员对办件进行状态调整。</t>
  </si>
  <si>
    <t>在办件不生效状态下，所有默认统计将不进行统计。</t>
  </si>
  <si>
    <r>
      <rPr>
        <sz val="12"/>
        <color theme="1"/>
        <rFont val="仿宋"/>
        <charset val="134"/>
      </rPr>
      <t>搜索条件和</t>
    </r>
    <r>
      <rPr>
        <sz val="12"/>
        <color theme="1"/>
        <rFont val="仿宋"/>
        <charset val="134"/>
      </rPr>
      <t>Excel</t>
    </r>
    <r>
      <rPr>
        <sz val="12"/>
        <color theme="1"/>
        <rFont val="仿宋"/>
        <charset val="134"/>
      </rPr>
      <t>导出功能将增加是否生效的记录，前端不提供导出功能，导出及显示格式包括序号、日期、公司名称、行业类别、注册资本、街道、住所、联系人、联系电话、是否生效等信息。</t>
    </r>
  </si>
  <si>
    <t>后台将提供按时间统计录入数的功能，支持选择时间范围查询，同时进行操作人统计和是否生效统计等，以便更好地管理和分析数据。</t>
  </si>
  <si>
    <t>后台信息录入框修改为富文本框</t>
  </si>
  <si>
    <r>
      <rPr>
        <sz val="12"/>
        <color theme="1"/>
        <rFont val="仿宋"/>
        <charset val="134"/>
      </rPr>
      <t>对现有系统中的工程建设审批板块、小东门街道板块、职业技能板块、外滩融易行板块进行功能优化。将这些板块中的信息录入框从当前格式修改为富文本编辑框，以便用户能够以更加灵活和丰富的格式进行信息录入。对于富文本编辑框的文字录入取消原有的字数限制，将限制范围放宽至</t>
    </r>
    <r>
      <rPr>
        <sz val="12"/>
        <color theme="1"/>
        <rFont val="仿宋"/>
        <charset val="134"/>
      </rPr>
      <t>2000</t>
    </r>
    <r>
      <rPr>
        <sz val="12"/>
        <color theme="1"/>
        <rFont val="仿宋"/>
        <charset val="134"/>
      </rPr>
      <t>字以上，以满足用户在信息录入时可能产生的多样化需求。</t>
    </r>
  </si>
  <si>
    <r>
      <rPr>
        <sz val="12"/>
        <color theme="1"/>
        <rFont val="仿宋"/>
        <charset val="134"/>
      </rPr>
      <t>5</t>
    </r>
    <r>
      <rPr>
        <sz val="12"/>
        <color theme="1"/>
        <rFont val="仿宋"/>
        <charset val="134"/>
      </rPr>
      <t> </t>
    </r>
  </si>
  <si>
    <t>工程建设项目审批审查中心独立板块</t>
  </si>
  <si>
    <r>
      <rPr>
        <sz val="12"/>
        <color theme="1"/>
        <rFont val="仿宋"/>
        <charset val="134"/>
      </rPr>
      <t>PAD</t>
    </r>
    <r>
      <rPr>
        <sz val="12"/>
        <color theme="1"/>
        <rFont val="仿宋"/>
        <charset val="134"/>
      </rPr>
      <t>端设置“工程建设中心”入口，进入“工程建设中心”后，设有“建设管理”“水务”两个可编辑板块。在“建设管理”页面下，包含“政策资讯”和“操作指南”两个子板块。“政策资讯”以列表形式展示政策信息，每条信息可单独查看，支持单条政策推送，一键推送至随申办，该板块将提供建管方面的政策，以</t>
    </r>
    <r>
      <rPr>
        <sz val="12"/>
        <color theme="1"/>
        <rFont val="仿宋"/>
        <charset val="134"/>
      </rPr>
      <t>PDF</t>
    </r>
    <r>
      <rPr>
        <sz val="12"/>
        <color theme="1"/>
        <rFont val="仿宋"/>
        <charset val="134"/>
      </rPr>
      <t>文件形式呈现；“水务”板块正常展示，所有访问统计记录将统一记录在“中心外统计”板块。</t>
    </r>
  </si>
  <si>
    <r>
      <rPr>
        <sz val="12"/>
        <color theme="1"/>
        <rFont val="仿宋"/>
        <charset val="134"/>
      </rPr>
      <t>6</t>
    </r>
    <r>
      <rPr>
        <sz val="12"/>
        <color theme="1"/>
        <rFont val="仿宋"/>
        <charset val="134"/>
      </rPr>
      <t> </t>
    </r>
  </si>
  <si>
    <t>办事指南</t>
  </si>
  <si>
    <r>
      <rPr>
        <sz val="12"/>
        <color theme="1"/>
        <rFont val="仿宋"/>
        <charset val="134"/>
      </rPr>
      <t>对办事指南的展示进行升级优化，具体为：对于无流程图的事项，办事指南将不显示办理流程板块；而对于有流程图的事项，则正常展示办理流程板块。此优化功能将同时应用于</t>
    </r>
    <r>
      <rPr>
        <sz val="12"/>
        <color theme="1"/>
        <rFont val="仿宋"/>
        <charset val="134"/>
      </rPr>
      <t>PAD</t>
    </r>
    <r>
      <rPr>
        <sz val="12"/>
        <color theme="1"/>
        <rFont val="仿宋"/>
        <charset val="134"/>
      </rPr>
      <t>端和</t>
    </r>
    <r>
      <rPr>
        <sz val="12"/>
        <color theme="1"/>
        <rFont val="仿宋"/>
        <charset val="134"/>
      </rPr>
      <t>PC</t>
    </r>
    <r>
      <rPr>
        <sz val="12"/>
        <color theme="1"/>
        <rFont val="仿宋"/>
        <charset val="134"/>
      </rPr>
      <t>客户端，以提升用户在不同设备上查看办事指南的体验，确保信息展示的准确性和实用性。</t>
    </r>
  </si>
  <si>
    <r>
      <rPr>
        <sz val="12"/>
        <color theme="1"/>
        <rFont val="仿宋"/>
        <charset val="134"/>
      </rPr>
      <t>7</t>
    </r>
    <r>
      <rPr>
        <sz val="12"/>
        <color theme="1"/>
        <rFont val="仿宋"/>
        <charset val="134"/>
      </rPr>
      <t> </t>
    </r>
  </si>
  <si>
    <t>功能完善</t>
  </si>
  <si>
    <t>私信传输</t>
  </si>
  <si>
    <r>
      <rPr>
        <sz val="12"/>
        <color theme="1"/>
        <rFont val="仿宋"/>
        <charset val="134"/>
      </rPr>
      <t>点对点私信传文件的功能，支持</t>
    </r>
    <r>
      <rPr>
        <sz val="12"/>
        <color theme="1"/>
        <rFont val="仿宋"/>
        <charset val="134"/>
      </rPr>
      <t>Excel</t>
    </r>
    <r>
      <rPr>
        <sz val="12"/>
        <color theme="1"/>
        <rFont val="仿宋"/>
        <charset val="134"/>
      </rPr>
      <t>、</t>
    </r>
    <r>
      <rPr>
        <sz val="12"/>
        <color theme="1"/>
        <rFont val="仿宋"/>
        <charset val="134"/>
      </rPr>
      <t>Word</t>
    </r>
    <r>
      <rPr>
        <sz val="12"/>
        <color theme="1"/>
        <rFont val="仿宋"/>
        <charset val="134"/>
      </rPr>
      <t>、</t>
    </r>
    <r>
      <rPr>
        <sz val="12"/>
        <color theme="1"/>
        <rFont val="仿宋"/>
        <charset val="134"/>
      </rPr>
      <t>PPT</t>
    </r>
    <r>
      <rPr>
        <sz val="12"/>
        <color theme="1"/>
        <rFont val="仿宋"/>
        <charset val="134"/>
      </rPr>
      <t>、</t>
    </r>
    <r>
      <rPr>
        <sz val="12"/>
        <color theme="1"/>
        <rFont val="仿宋"/>
        <charset val="134"/>
      </rPr>
      <t>PDF</t>
    </r>
    <r>
      <rPr>
        <sz val="12"/>
        <color theme="1"/>
        <rFont val="仿宋"/>
        <charset val="134"/>
      </rPr>
      <t>、</t>
    </r>
    <r>
      <rPr>
        <sz val="12"/>
        <color theme="1"/>
        <rFont val="仿宋"/>
        <charset val="134"/>
      </rPr>
      <t>JPG</t>
    </r>
    <r>
      <rPr>
        <sz val="12"/>
        <color theme="1"/>
        <rFont val="仿宋"/>
        <charset val="134"/>
      </rPr>
      <t>等多种文件格式。该功能允许文件传输，文件将保留在服务器中。系统会记录传输过程，包括发送人、接收人、发送时间、接收时间以及传输内容（文件或文字）。</t>
    </r>
  </si>
  <si>
    <r>
      <rPr>
        <sz val="12"/>
        <color theme="1"/>
        <rFont val="仿宋"/>
        <charset val="134"/>
      </rPr>
      <t>8</t>
    </r>
    <r>
      <rPr>
        <sz val="12"/>
        <color theme="1"/>
        <rFont val="仿宋"/>
        <charset val="134"/>
      </rPr>
      <t> </t>
    </r>
  </si>
  <si>
    <t>过程留痕</t>
  </si>
  <si>
    <t>管理员可以查看所有文件及过程记录，以便进行将原有的快捷帮办和圆桌帮办的今年累计统计口径改为累计接待量，以便更精准对接接待情况。管理和监督。</t>
  </si>
  <si>
    <r>
      <rPr>
        <sz val="12"/>
        <color theme="1"/>
        <rFont val="仿宋"/>
        <charset val="134"/>
      </rPr>
      <t>9</t>
    </r>
    <r>
      <rPr>
        <sz val="12"/>
        <color theme="1"/>
        <rFont val="仿宋"/>
        <charset val="134"/>
      </rPr>
      <t> </t>
    </r>
  </si>
  <si>
    <t>统计分析</t>
  </si>
  <si>
    <t>累计接待量</t>
  </si>
  <si>
    <t>将原有的快捷帮办和圆桌帮办的今年累计统计口径改为累计接待量，以便更精准对接接待情况。</t>
  </si>
  <si>
    <r>
      <rPr>
        <sz val="12"/>
        <color theme="1"/>
        <rFont val="仿宋"/>
        <charset val="134"/>
      </rPr>
      <t>10</t>
    </r>
    <r>
      <rPr>
        <sz val="12"/>
        <color theme="1"/>
        <rFont val="仿宋"/>
        <charset val="134"/>
      </rPr>
      <t> </t>
    </r>
  </si>
  <si>
    <t>办件类型统计</t>
  </si>
  <si>
    <r>
      <rPr>
        <sz val="12"/>
        <color theme="1"/>
        <rFont val="仿宋"/>
        <charset val="134"/>
      </rPr>
      <t>开发一个帮办办件类似数量接口，需提供五个关键数据指标：帮办取号量、办不成事的数量、新设业务量、变更业务量以及注销业务量。数据将分为三种类型：（</t>
    </r>
    <r>
      <rPr>
        <sz val="12"/>
        <color theme="1"/>
        <rFont val="仿宋"/>
        <charset val="134"/>
      </rPr>
      <t>1</t>
    </r>
    <r>
      <rPr>
        <sz val="12"/>
        <color theme="1"/>
        <rFont val="仿宋"/>
        <charset val="134"/>
      </rPr>
      <t>）当天数据，提供当日的实时数据；（</t>
    </r>
    <r>
      <rPr>
        <sz val="12"/>
        <color theme="1"/>
        <rFont val="仿宋"/>
        <charset val="134"/>
      </rPr>
      <t>2</t>
    </r>
    <r>
      <rPr>
        <sz val="12"/>
        <color theme="1"/>
        <rFont val="仿宋"/>
        <charset val="134"/>
      </rPr>
      <t>）历史天数据，提供指定单日的历史数据；（</t>
    </r>
    <r>
      <rPr>
        <sz val="12"/>
        <color theme="1"/>
        <rFont val="仿宋"/>
        <charset val="134"/>
      </rPr>
      <t>3</t>
    </r>
    <r>
      <rPr>
        <sz val="12"/>
        <color theme="1"/>
        <rFont val="仿宋"/>
        <charset val="134"/>
      </rPr>
      <t>）历史范围数据，提供在指定时间段内的数据汇总。</t>
    </r>
  </si>
  <si>
    <r>
      <rPr>
        <sz val="12"/>
        <color theme="1"/>
        <rFont val="仿宋"/>
        <charset val="134"/>
      </rPr>
      <t>11</t>
    </r>
    <r>
      <rPr>
        <sz val="12"/>
        <color theme="1"/>
        <rFont val="仿宋"/>
        <charset val="134"/>
      </rPr>
      <t> </t>
    </r>
  </si>
  <si>
    <t>企业码扫码信息统计更新</t>
  </si>
  <si>
    <t>实现企业码扫描记录的统计功能升级，系统将支持用户自定义时间范围，以统计企业码的访问数量、访问企业、接待人以及扫码时间等关键信息。</t>
  </si>
  <si>
    <r>
      <rPr>
        <sz val="12"/>
        <color theme="1"/>
        <rFont val="仿宋"/>
        <charset val="134"/>
      </rPr>
      <t>12</t>
    </r>
    <r>
      <rPr>
        <sz val="12"/>
        <color theme="1"/>
        <rFont val="仿宋"/>
        <charset val="134"/>
      </rPr>
      <t> </t>
    </r>
  </si>
  <si>
    <t>帮办联办</t>
  </si>
  <si>
    <t>对帮办系统功能进行联办优化改造，重点与黄浦一业一证接口的深度整合与数据交互。对接黄浦一业一证接口，对一业一证数据与帮办系统进行详细的数据比对。针对帮办办件流程中的“公司变更登录注册”和“公司注销登记注册”两个事项，增加一业一证数据比对和确认功能。当用户确认需要办理“许可证”时，系统将自动增加“许可证”的办理流程。在办理过程中，若比对结果显示存在联办信息，则启动联办流程；若无联办信息，则保持原有帮办流程不变。办事指南中将增加许可证申请表格，并统一表格清单的展示位置。</t>
  </si>
  <si>
    <r>
      <rPr>
        <sz val="12"/>
        <color theme="1"/>
        <rFont val="仿宋"/>
        <charset val="134"/>
      </rPr>
      <t>13</t>
    </r>
    <r>
      <rPr>
        <sz val="12"/>
        <color theme="1"/>
        <rFont val="仿宋"/>
        <charset val="134"/>
      </rPr>
      <t> </t>
    </r>
  </si>
  <si>
    <t>外滩融易行（信用服务）</t>
  </si>
  <si>
    <r>
      <rPr>
        <sz val="12"/>
        <color theme="1"/>
        <rFont val="仿宋"/>
        <charset val="134"/>
      </rPr>
      <t>外滩融易行的</t>
    </r>
    <r>
      <rPr>
        <sz val="12"/>
        <color theme="1"/>
        <rFont val="仿宋"/>
        <charset val="134"/>
      </rPr>
      <t>PAD</t>
    </r>
    <r>
      <rPr>
        <sz val="12"/>
        <color theme="1"/>
        <rFont val="仿宋"/>
        <charset val="134"/>
      </rPr>
      <t>端应用，包含三个核心功能模块：金融产品超市、融资需求发布和浦江碳信用，提供相应的接口文档，以便实现与金融产品超市、融资需求发布和浦江碳信用的对接。政策宣传内容将由第三方提供，并通过后台配置展示。用户可以单独查看每条信息，并且可以将单条政策推送到一网通办。在多选政策进入确认页时，每条政策可单独查看，并支持单条政策推送，同时确认页还提供多条政策一键推送至随申办的功能。</t>
    </r>
  </si>
  <si>
    <r>
      <rPr>
        <sz val="12"/>
        <color theme="1"/>
        <rFont val="仿宋"/>
        <charset val="134"/>
      </rPr>
      <t>14</t>
    </r>
    <r>
      <rPr>
        <sz val="12"/>
        <color theme="1"/>
        <rFont val="仿宋"/>
        <charset val="134"/>
      </rPr>
      <t> </t>
    </r>
  </si>
  <si>
    <t>海关事务留言板</t>
  </si>
  <si>
    <r>
      <rPr>
        <sz val="12"/>
        <color theme="1"/>
        <rFont val="仿宋"/>
        <charset val="134"/>
      </rPr>
      <t>开发一个留言板功能，用户通过扫描二维码进入留言板页面，页面设有四排录入框及提交按钮，分别用于填写留言公司（单位，必填）、留言人（必填）、联系电话（必填）和留言内容（多排必填）。提交成功后，系统将提示成功，并返回录入页面，用户可继续留言。在</t>
    </r>
    <r>
      <rPr>
        <sz val="12"/>
        <color theme="1"/>
        <rFont val="仿宋"/>
        <charset val="134"/>
      </rPr>
      <t>PC</t>
    </r>
    <r>
      <rPr>
        <sz val="12"/>
        <color theme="1"/>
        <rFont val="仿宋"/>
        <charset val="134"/>
      </rPr>
      <t>端，将增加留言板提交后的统计查看功能，以列表形式展示序号、留言公司（单位）、留言人、联系电话、留言内容和提交时间等信息。此外，还将增加搜索功能，支持按留言公司（单位）、留言人、联系电话、登记时间进行模糊搜索，并可将条件筛选后的结果导出为</t>
    </r>
    <r>
      <rPr>
        <sz val="12"/>
        <color theme="1"/>
        <rFont val="仿宋"/>
        <charset val="134"/>
      </rPr>
      <t>Excel</t>
    </r>
    <r>
      <rPr>
        <sz val="12"/>
        <color theme="1"/>
        <rFont val="仿宋"/>
        <charset val="134"/>
      </rPr>
      <t>表格。</t>
    </r>
  </si>
  <si>
    <r>
      <rPr>
        <sz val="12"/>
        <color theme="1"/>
        <rFont val="仿宋"/>
        <charset val="134"/>
      </rPr>
      <t>15</t>
    </r>
    <r>
      <rPr>
        <sz val="12"/>
        <color theme="1"/>
        <rFont val="仿宋"/>
        <charset val="134"/>
      </rPr>
      <t> </t>
    </r>
  </si>
  <si>
    <t>帮办取号池改造</t>
  </si>
  <si>
    <r>
      <rPr>
        <sz val="12"/>
        <color theme="1"/>
        <rFont val="仿宋"/>
        <charset val="134"/>
      </rPr>
      <t>取号系统整改以桌号为单位对圆桌工作人员进行编号。新增优先取号功能，可插队至取号池。圆桌帮办可同时接待</t>
    </r>
    <r>
      <rPr>
        <sz val="12"/>
        <color theme="1"/>
        <rFont val="仿宋"/>
        <charset val="134"/>
      </rPr>
      <t>5</t>
    </r>
    <r>
      <rPr>
        <sz val="12"/>
        <color theme="1"/>
        <rFont val="仿宋"/>
        <charset val="134"/>
      </rPr>
      <t>人，取号池中包含随机取号、指定取号和优先取号，谁空闲谁接待下一位。综窗和快捷帮办取圆桌帮办号后也进入取号池按顺序排队，保留指定取号和优先取号功能。整改后圆桌帮办取号功能保留指定号取号、优先取号和转派功能，修改副组长、组长转派功能，使所有人都能转派。</t>
    </r>
  </si>
  <si>
    <r>
      <rPr>
        <sz val="12"/>
        <color theme="1"/>
        <rFont val="仿宋"/>
        <charset val="134"/>
      </rPr>
      <t>16</t>
    </r>
    <r>
      <rPr>
        <sz val="12"/>
        <color theme="1"/>
        <rFont val="仿宋"/>
        <charset val="134"/>
      </rPr>
      <t> </t>
    </r>
  </si>
  <si>
    <t>行政许可事项更新</t>
  </si>
  <si>
    <r>
      <rPr>
        <sz val="12"/>
        <color theme="1"/>
        <rFont val="仿宋"/>
        <charset val="134"/>
      </rPr>
      <t>优先更新前</t>
    </r>
    <r>
      <rPr>
        <sz val="12"/>
        <color theme="1"/>
        <rFont val="仿宋"/>
        <charset val="134"/>
      </rPr>
      <t>20</t>
    </r>
    <r>
      <rPr>
        <sz val="12"/>
        <color theme="1"/>
        <rFont val="仿宋"/>
        <charset val="134"/>
      </rPr>
      <t>热门事项。由于行政许可事项处于持续更新状态，本项目计划至少完成</t>
    </r>
    <r>
      <rPr>
        <sz val="12"/>
        <color theme="1"/>
        <rFont val="仿宋"/>
        <charset val="134"/>
      </rPr>
      <t>500</t>
    </r>
    <r>
      <rPr>
        <sz val="12"/>
        <color theme="1"/>
        <rFont val="仿宋"/>
        <charset val="134"/>
      </rPr>
      <t>个事项的更新工作。</t>
    </r>
  </si>
  <si>
    <r>
      <rPr>
        <sz val="12"/>
        <color theme="1"/>
        <rFont val="仿宋"/>
        <charset val="134"/>
      </rPr>
      <t>17</t>
    </r>
    <r>
      <rPr>
        <sz val="12"/>
        <color theme="1"/>
        <rFont val="仿宋"/>
        <charset val="134"/>
      </rPr>
      <t> </t>
    </r>
  </si>
  <si>
    <t>便利店适配</t>
  </si>
  <si>
    <t>便利店适配手机端</t>
  </si>
  <si>
    <t>便利店正式版进行手机端适配优化。对现有便利店页面进行全面的手机端适配，确保适配后的页面在手机上能够正常展示，并且用户可以点击使用，从而提升用户体验，增强便利店服务在移动端的可用性和便捷性。</t>
  </si>
  <si>
    <r>
      <rPr>
        <sz val="12"/>
        <color theme="1"/>
        <rFont val="仿宋"/>
        <charset val="134"/>
      </rPr>
      <t>18</t>
    </r>
    <r>
      <rPr>
        <sz val="12"/>
        <color theme="1"/>
        <rFont val="仿宋"/>
        <charset val="134"/>
      </rPr>
      <t> </t>
    </r>
  </si>
  <si>
    <r>
      <rPr>
        <sz val="12"/>
        <color theme="1"/>
        <rFont val="仿宋"/>
        <charset val="134"/>
      </rPr>
      <t>便利店适配</t>
    </r>
    <r>
      <rPr>
        <sz val="12"/>
        <color theme="1"/>
        <rFont val="仿宋"/>
        <charset val="134"/>
      </rPr>
      <t>pad</t>
    </r>
    <r>
      <rPr>
        <sz val="12"/>
        <color theme="1"/>
        <rFont val="仿宋"/>
        <charset val="134"/>
      </rPr>
      <t>端</t>
    </r>
  </si>
  <si>
    <r>
      <rPr>
        <sz val="12"/>
        <color theme="1"/>
        <rFont val="仿宋"/>
        <charset val="134"/>
      </rPr>
      <t>便利店正式版进行</t>
    </r>
    <r>
      <rPr>
        <sz val="12"/>
        <color theme="1"/>
        <rFont val="仿宋"/>
        <charset val="134"/>
      </rPr>
      <t>PAD</t>
    </r>
    <r>
      <rPr>
        <sz val="12"/>
        <color theme="1"/>
        <rFont val="仿宋"/>
        <charset val="134"/>
      </rPr>
      <t>端适配优化。对现有便利店页面进行全面的</t>
    </r>
    <r>
      <rPr>
        <sz val="12"/>
        <color theme="1"/>
        <rFont val="仿宋"/>
        <charset val="134"/>
      </rPr>
      <t>PAD</t>
    </r>
    <r>
      <rPr>
        <sz val="12"/>
        <color theme="1"/>
        <rFont val="仿宋"/>
        <charset val="134"/>
      </rPr>
      <t>适配，确保适配后的页面在</t>
    </r>
    <r>
      <rPr>
        <sz val="12"/>
        <color theme="1"/>
        <rFont val="仿宋"/>
        <charset val="134"/>
      </rPr>
      <t>PAD</t>
    </r>
    <r>
      <rPr>
        <sz val="12"/>
        <color theme="1"/>
        <rFont val="仿宋"/>
        <charset val="134"/>
      </rPr>
      <t>上能够正常展示，并且用户可以点击使用，从而提升用户体验，增强便利店服务在移动端的可用性和便捷性。</t>
    </r>
  </si>
  <si>
    <r>
      <rPr>
        <sz val="12"/>
        <color theme="1"/>
        <rFont val="仿宋"/>
        <charset val="134"/>
      </rPr>
      <t>19</t>
    </r>
    <r>
      <rPr>
        <sz val="12"/>
        <color theme="1"/>
        <rFont val="仿宋"/>
        <charset val="134"/>
      </rPr>
      <t> </t>
    </r>
  </si>
  <si>
    <t>政策匹配</t>
  </si>
  <si>
    <t>政策推荐</t>
  </si>
  <si>
    <t>智能助手</t>
  </si>
  <si>
    <t>政策解读</t>
  </si>
  <si>
    <t>政策文本常因表述复杂、条款冗长，导致理解成本高，阅读代价高，容易有歧义和错漏。</t>
  </si>
  <si>
    <r>
      <rPr>
        <sz val="12"/>
        <color theme="1"/>
        <rFont val="仿宋"/>
        <charset val="134"/>
      </rPr>
      <t>通过大模型深度解析政策文件，提取核心目标、适用对象、支持措施、申报条件等关键要素，并生成简明解读报告。针对跨部门政策，系统自动拆解为具体可执行事项，关联责任部门、办理入口及材料清单，形成“政策</t>
    </r>
    <r>
      <rPr>
        <sz val="12"/>
        <color theme="1"/>
        <rFont val="仿宋"/>
        <charset val="134"/>
      </rPr>
      <t>-</t>
    </r>
    <r>
      <rPr>
        <sz val="12"/>
        <color theme="1"/>
        <rFont val="仿宋"/>
        <charset val="134"/>
      </rPr>
      <t>事项”映射图谱，存入后续的政策知识数据库中，用于查询和引用，降低理解和操作门槛。</t>
    </r>
  </si>
  <si>
    <t>对话</t>
  </si>
  <si>
    <r>
      <rPr>
        <sz val="12"/>
        <color theme="1"/>
        <rFont val="仿宋"/>
        <charset val="134"/>
      </rPr>
      <t>平台支持智能</t>
    </r>
    <r>
      <rPr>
        <sz val="12"/>
        <color theme="1"/>
        <rFont val="仿宋"/>
        <charset val="134"/>
      </rPr>
      <t>AI</t>
    </r>
    <r>
      <rPr>
        <sz val="12"/>
        <color theme="1"/>
        <rFont val="仿宋"/>
        <charset val="134"/>
      </rPr>
      <t>自助对话，支持用户与系统进行交互，确认企业是否符合政策要求，如何准备材料等问题。</t>
    </r>
  </si>
  <si>
    <r>
      <rPr>
        <sz val="12"/>
        <color theme="1"/>
        <rFont val="仿宋"/>
        <charset val="134"/>
      </rPr>
      <t>用户只需描述自己的需求，</t>
    </r>
    <r>
      <rPr>
        <sz val="12"/>
        <color theme="1"/>
        <rFont val="仿宋"/>
        <charset val="134"/>
      </rPr>
      <t>AI</t>
    </r>
    <r>
      <rPr>
        <sz val="12"/>
        <color theme="1"/>
        <rFont val="仿宋"/>
        <charset val="134"/>
      </rPr>
      <t>助手就能理解用户的意图，根据用户提供的信息，与政策申报条件进行匹配，并生成相应的申报流程、所需材料、注意事项等，确保用户能够顺利完成申报。</t>
    </r>
  </si>
  <si>
    <r>
      <rPr>
        <sz val="12"/>
        <color theme="1"/>
        <rFont val="仿宋"/>
        <charset val="134"/>
      </rPr>
      <t>20</t>
    </r>
    <r>
      <rPr>
        <sz val="12"/>
        <color theme="1"/>
        <rFont val="仿宋"/>
        <charset val="134"/>
      </rPr>
      <t> </t>
    </r>
  </si>
  <si>
    <r>
      <rPr>
        <sz val="12"/>
        <color theme="1"/>
        <rFont val="仿宋"/>
        <charset val="134"/>
      </rPr>
      <t>企业</t>
    </r>
    <r>
      <rPr>
        <sz val="12"/>
        <color theme="1"/>
        <rFont val="仿宋"/>
        <charset val="134"/>
      </rPr>
      <t>-</t>
    </r>
    <r>
      <rPr>
        <sz val="12"/>
        <color theme="1"/>
        <rFont val="仿宋"/>
        <charset val="134"/>
      </rPr>
      <t>政策智能推荐</t>
    </r>
  </si>
  <si>
    <r>
      <rPr>
        <sz val="12"/>
        <color theme="1"/>
        <rFont val="仿宋"/>
        <charset val="134"/>
      </rPr>
      <t>传统政策申报依赖企业自主检索，存在覆盖不全、匹配精度低等问题。智能匹配功能通过构建政策与企业之间的关联网络，实现政策与企业的精准对接</t>
    </r>
    <r>
      <rPr>
        <sz val="12"/>
        <color theme="1"/>
        <rFont val="仿宋"/>
        <charset val="134"/>
      </rPr>
      <t>,</t>
    </r>
    <r>
      <rPr>
        <sz val="12"/>
        <color theme="1"/>
        <rFont val="仿宋"/>
        <charset val="134"/>
      </rPr>
      <t>实现“条件</t>
    </r>
    <r>
      <rPr>
        <sz val="12"/>
        <color theme="1"/>
        <rFont val="仿宋"/>
        <charset val="134"/>
      </rPr>
      <t>-</t>
    </r>
    <r>
      <rPr>
        <sz val="12"/>
        <color theme="1"/>
        <rFont val="仿宋"/>
        <charset val="134"/>
      </rPr>
      <t>企业”双向智能匹配，提升政策触达效率。系统分析企业画像中的标签和政策知识信息库中的数据，自动推荐适合企业申报的项目、补贴和税收优惠。</t>
    </r>
  </si>
  <si>
    <t>基于这个功能简化企业申报流程，提高申报成功率。智能匹配还会根据企业的反馈和申报结果，不断学习和优化匹配算法，以提供更加个性化和精准的服务。此外，智能匹配功能还提供一个对用户友好的界面，使企业能够轻松查看推荐的政策和相应的申报指南。</t>
  </si>
  <si>
    <r>
      <rPr>
        <sz val="12"/>
        <color theme="1"/>
        <rFont val="仿宋"/>
        <charset val="134"/>
      </rPr>
      <t>21</t>
    </r>
    <r>
      <rPr>
        <sz val="12"/>
        <color theme="1"/>
        <rFont val="仿宋"/>
        <charset val="134"/>
      </rPr>
      <t> </t>
    </r>
  </si>
  <si>
    <r>
      <rPr>
        <sz val="12"/>
        <color theme="1"/>
        <rFont val="仿宋"/>
        <charset val="134"/>
      </rPr>
      <t>游客</t>
    </r>
    <r>
      <rPr>
        <sz val="12"/>
        <color theme="1"/>
        <rFont val="仿宋"/>
        <charset val="134"/>
      </rPr>
      <t>-</t>
    </r>
    <r>
      <rPr>
        <sz val="12"/>
        <color theme="1"/>
        <rFont val="仿宋"/>
        <charset val="134"/>
      </rPr>
      <t>政策智能推荐</t>
    </r>
  </si>
  <si>
    <t>针对游客登录平台，系统自动推荐平台最新的政策文件，方便游客浏览。</t>
  </si>
  <si>
    <r>
      <rPr>
        <sz val="12"/>
        <color theme="1"/>
        <rFont val="仿宋"/>
        <charset val="134"/>
      </rPr>
      <t>22</t>
    </r>
    <r>
      <rPr>
        <sz val="12"/>
        <color theme="1"/>
        <rFont val="仿宋"/>
        <charset val="134"/>
      </rPr>
      <t> </t>
    </r>
  </si>
  <si>
    <t>政策超市</t>
  </si>
  <si>
    <t>数据采集</t>
  </si>
  <si>
    <t>政策数据对接</t>
  </si>
  <si>
    <r>
      <rPr>
        <sz val="12"/>
        <color theme="1"/>
        <rFont val="仿宋"/>
        <charset val="134"/>
      </rPr>
      <t>政策数据对接主要是对接第三方权威机构的政策文件，通过智能化数据接口与自动化采集工具，实时抓取、清洗并结构化存储政策原文及关键信息（如政策类型、适用范围、生效时间等），确保数据来源的合法性与时效性；同时，结合本地化合规要求，内置数据更新监测机制与隐私保护策略，为政策分析、匹配推荐及决策支持模块提供精准、可溯源的标准化数据支撑，助力用户动态掌握政策动向并快速响应业务需求，形成“采集</t>
    </r>
    <r>
      <rPr>
        <sz val="12"/>
        <color theme="1"/>
        <rFont val="仿宋"/>
        <charset val="134"/>
      </rPr>
      <t>-</t>
    </r>
    <r>
      <rPr>
        <sz val="12"/>
        <color theme="1"/>
        <rFont val="仿宋"/>
        <charset val="134"/>
      </rPr>
      <t>解析</t>
    </r>
    <r>
      <rPr>
        <sz val="12"/>
        <color theme="1"/>
        <rFont val="仿宋"/>
        <charset val="134"/>
      </rPr>
      <t>-</t>
    </r>
    <r>
      <rPr>
        <sz val="12"/>
        <color theme="1"/>
        <rFont val="仿宋"/>
        <charset val="134"/>
      </rPr>
      <t>应用”的全流程闭环管理。</t>
    </r>
  </si>
  <si>
    <t>政策数据录入</t>
  </si>
  <si>
    <t>政策数据采集模块支持人工协同录入方式，针对各委办局发布的政策文件，以手动录入的方式确保政策数据的完整性、时效性与规范性，为后续政策智能解析与应用场景提供高可信度的数据基础。</t>
  </si>
  <si>
    <r>
      <rPr>
        <sz val="12"/>
        <color theme="1"/>
        <rFont val="仿宋"/>
        <charset val="134"/>
      </rPr>
      <t>23</t>
    </r>
    <r>
      <rPr>
        <sz val="12"/>
        <color theme="1"/>
        <rFont val="仿宋"/>
        <charset val="134"/>
      </rPr>
      <t> </t>
    </r>
  </si>
  <si>
    <t>信息库构建</t>
  </si>
  <si>
    <t>政策信息库</t>
  </si>
  <si>
    <t>平台采用多源异构数据对接与人工协同录入的相关政策数据构建智能的政策信息库。政策信息库是一个动态更新的体系，通过持续更新政府发布的最新政策文件，并利用大模型技术对这些文件进行深度解析。系统将政策文件中的复杂信息转化为易于理解的结构化数据单元。帮助企业快速识别与自身相关的政策，使政策信息更加透明和易于访问。</t>
  </si>
  <si>
    <t>政策信息库的自动更新机制确保了企业能够及时获取最新的政策变动，从而避免错过任何可能的补贴或优惠机会。</t>
  </si>
  <si>
    <t>企业信息库</t>
  </si>
  <si>
    <t>构建企业全息档案库，通过动态维护机制实现企业信息的实时更新与管理，结合智能校验规则与人工复核流程确保数据完整性与准确性，并与政策匹配、画像分析等模块深度联动，为企业特征提取、政策适配度计算及服务场景应用提供标准化、可扩展的基础数据支撑。</t>
  </si>
  <si>
    <r>
      <rPr>
        <sz val="12"/>
        <color theme="1"/>
        <rFont val="仿宋"/>
        <charset val="134"/>
      </rPr>
      <t>企业信息库主要标签有企业认证（创新型中小企业、市级农牧龙头企业、国家级专精特新“小巨人</t>
    </r>
    <r>
      <rPr>
        <sz val="12"/>
        <color theme="1"/>
        <rFont val="仿宋"/>
        <charset val="134"/>
      </rPr>
      <t>"</t>
    </r>
    <r>
      <rPr>
        <sz val="12"/>
        <color theme="1"/>
        <rFont val="仿宋"/>
        <charset val="134"/>
      </rPr>
      <t>企业、市级专精特新中小企业、市级”专精特新</t>
    </r>
    <r>
      <rPr>
        <sz val="12"/>
        <color theme="1"/>
        <rFont val="仿宋"/>
        <charset val="134"/>
      </rPr>
      <t>"</t>
    </r>
    <r>
      <rPr>
        <sz val="12"/>
        <color theme="1"/>
        <rFont val="仿宋"/>
        <charset val="134"/>
      </rPr>
      <t>中小企业等）、惩罚情况（异常企业、失信企业）、技改投入情况（有技改投入、无技改投入）、参展情况（参加展会、不参加展会）、贷款情况（有贷款、无盘款）等基础信息。</t>
    </r>
  </si>
  <si>
    <t>标签信息库</t>
  </si>
  <si>
    <r>
      <rPr>
        <sz val="12"/>
        <color theme="1"/>
        <rFont val="仿宋"/>
        <charset val="134"/>
      </rPr>
      <t>建立涵盖政策标签（如行业分类、适用条件、支持类型）与企业标签（如经营属性、资质等级、区域特征）的双向动态标签体系，通过智能分析政策内容与企业数据自动生成初始标签，并设置人工审核与规则优化机制，实现标签的持续增量更新与分类校准，同步构建政策</t>
    </r>
    <r>
      <rPr>
        <sz val="12"/>
        <color theme="1"/>
        <rFont val="仿宋"/>
        <charset val="134"/>
      </rPr>
      <t>-</t>
    </r>
    <r>
      <rPr>
        <sz val="12"/>
        <color theme="1"/>
        <rFont val="仿宋"/>
        <charset val="134"/>
      </rPr>
      <t>企业标签关联匹配规则库，支撑政策精准推荐、企业画像分析及数据统计等核心场景，形成标准化、可扩展的标签管理中枢。</t>
    </r>
  </si>
  <si>
    <r>
      <rPr>
        <sz val="12"/>
        <color theme="1"/>
        <rFont val="仿宋"/>
        <charset val="134"/>
      </rPr>
      <t>24</t>
    </r>
    <r>
      <rPr>
        <sz val="12"/>
        <color theme="1"/>
        <rFont val="仿宋"/>
        <charset val="134"/>
      </rPr>
      <t> </t>
    </r>
  </si>
  <si>
    <t>政策知识图谱</t>
  </si>
  <si>
    <t>整合政策文件、企业数据及行业信息等多源数据，构建政策间的关联网络，支持基于企业特征的政策关联关系挖掘，形成政策关系推演与趋势分析模块，实现多维政策数据的结构化关联与动态呈现。</t>
  </si>
  <si>
    <r>
      <rPr>
        <sz val="12"/>
        <color theme="1"/>
        <rFont val="仿宋"/>
        <charset val="134"/>
      </rPr>
      <t>25</t>
    </r>
    <r>
      <rPr>
        <sz val="12"/>
        <color theme="1"/>
        <rFont val="仿宋"/>
        <charset val="134"/>
      </rPr>
      <t> </t>
    </r>
  </si>
  <si>
    <t>政策筛选动态生成</t>
  </si>
  <si>
    <t>平台支持政策文件的筛选项动态展示。该模块通过智能分析最新政策文档，自动识别最新政策文件与历史政策文件不同字段，同时结合企业基础属性（如行业类型、经营规模、地域分布等）构建动态匹配逻辑，实时生成可自定义的政策筛选条件（如政策主题、政策级别），实现政策资源与企业需求的精准适配，降低政策检索复杂度，提升企业政策匹配效率与申报成功率。</t>
  </si>
  <si>
    <r>
      <rPr>
        <sz val="12"/>
        <color theme="1"/>
        <rFont val="仿宋"/>
        <charset val="134"/>
      </rPr>
      <t>26</t>
    </r>
    <r>
      <rPr>
        <sz val="12"/>
        <color theme="1"/>
        <rFont val="仿宋"/>
        <charset val="134"/>
      </rPr>
      <t> </t>
    </r>
  </si>
  <si>
    <t>政策搜索</t>
  </si>
  <si>
    <t>政策超市提供搜索功能，允许企业根据关键词快速查找相关政策，进一步提高了政策利用的效率。</t>
  </si>
  <si>
    <r>
      <rPr>
        <sz val="12"/>
        <color theme="1"/>
        <rFont val="仿宋"/>
        <charset val="134"/>
      </rPr>
      <t>27</t>
    </r>
    <r>
      <rPr>
        <sz val="12"/>
        <color theme="1"/>
        <rFont val="仿宋"/>
        <charset val="134"/>
      </rPr>
      <t> </t>
    </r>
  </si>
  <si>
    <t>政策列表</t>
  </si>
  <si>
    <r>
      <rPr>
        <sz val="12"/>
        <color theme="1"/>
        <rFont val="仿宋"/>
        <charset val="134"/>
      </rPr>
      <t>政策列表功能基于企业多维特征（行业分类、经营规模、区域属性等）智能匹配关联政策资源，动态生成按政策发布时间倒序排列的适配列表，并同步展示匹配政策总量，支持企业快速定位时效性强、契合度高的政策条目，实现</t>
    </r>
    <r>
      <rPr>
        <sz val="12"/>
        <color theme="1"/>
        <rFont val="仿宋"/>
        <charset val="134"/>
      </rPr>
      <t>"</t>
    </r>
    <r>
      <rPr>
        <sz val="12"/>
        <color theme="1"/>
        <rFont val="仿宋"/>
        <charset val="134"/>
      </rPr>
      <t>精准筛选</t>
    </r>
    <r>
      <rPr>
        <sz val="12"/>
        <color theme="1"/>
        <rFont val="仿宋"/>
        <charset val="134"/>
      </rPr>
      <t>-</t>
    </r>
    <r>
      <rPr>
        <sz val="12"/>
        <color theme="1"/>
        <rFont val="仿宋"/>
        <charset val="134"/>
      </rPr>
      <t>时序展示</t>
    </r>
    <r>
      <rPr>
        <sz val="12"/>
        <color theme="1"/>
        <rFont val="仿宋"/>
        <charset val="134"/>
      </rPr>
      <t>-</t>
    </r>
    <r>
      <rPr>
        <sz val="12"/>
        <color theme="1"/>
        <rFont val="仿宋"/>
        <charset val="134"/>
      </rPr>
      <t>数据透视</t>
    </r>
    <r>
      <rPr>
        <sz val="12"/>
        <color theme="1"/>
        <rFont val="仿宋"/>
        <charset val="134"/>
      </rPr>
      <t>"</t>
    </r>
    <r>
      <rPr>
        <sz val="12"/>
        <color theme="1"/>
        <rFont val="仿宋"/>
        <charset val="134"/>
      </rPr>
      <t>的一体化视图服务，降低政策信息检索成本。</t>
    </r>
  </si>
  <si>
    <r>
      <rPr>
        <sz val="12"/>
        <color theme="1"/>
        <rFont val="仿宋"/>
        <charset val="134"/>
      </rPr>
      <t>28</t>
    </r>
    <r>
      <rPr>
        <sz val="12"/>
        <color theme="1"/>
        <rFont val="仿宋"/>
        <charset val="134"/>
      </rPr>
      <t> </t>
    </r>
  </si>
  <si>
    <t>用户扫码识别</t>
  </si>
  <si>
    <t>自动生成电子二维码，支持电子营业执照微信、支付宝、百度小程序等扫码登录。</t>
  </si>
  <si>
    <r>
      <rPr>
        <sz val="12"/>
        <color theme="1"/>
        <rFont val="仿宋"/>
        <charset val="134"/>
      </rPr>
      <t>29</t>
    </r>
    <r>
      <rPr>
        <sz val="12"/>
        <color theme="1"/>
        <rFont val="仿宋"/>
        <charset val="134"/>
      </rPr>
      <t> </t>
    </r>
  </si>
  <si>
    <t>扫码枪扫码识别</t>
  </si>
  <si>
    <t>通过扫码枪快速读取企业唯一标识码（如统一社会信用代码），自动调取企业基础档案信息（行业属性、注册地、经营规模等），确保数据获取的实时性与准确性。</t>
  </si>
  <si>
    <r>
      <rPr>
        <sz val="12"/>
        <color theme="1"/>
        <rFont val="仿宋"/>
        <charset val="134"/>
      </rPr>
      <t>30</t>
    </r>
    <r>
      <rPr>
        <sz val="12"/>
        <color theme="1"/>
        <rFont val="仿宋"/>
        <charset val="134"/>
      </rPr>
      <t> </t>
    </r>
  </si>
  <si>
    <t>企业动态解析</t>
  </si>
  <si>
    <t>基于扫码获取的企业核心数据，自动提取关键匹配的标签（如所属行业、资质等级、发展阶段），构建多维政策适配画像。</t>
  </si>
  <si>
    <r>
      <rPr>
        <sz val="12"/>
        <color theme="1"/>
        <rFont val="仿宋"/>
        <charset val="134"/>
      </rPr>
      <t>31</t>
    </r>
    <r>
      <rPr>
        <sz val="12"/>
        <color theme="1"/>
        <rFont val="仿宋"/>
        <charset val="134"/>
      </rPr>
      <t> </t>
    </r>
  </si>
  <si>
    <t>政策智能匹配</t>
  </si>
  <si>
    <t>结合企业画像与政策标签库，实时筛选适用政策清单，按匹配度（如政策条件契合度、申报时效性、扶持力度）排序，支持优先级规则自定义（如区域倾斜、重点产业优先）。</t>
  </si>
  <si>
    <r>
      <rPr>
        <sz val="12"/>
        <color theme="1"/>
        <rFont val="仿宋"/>
        <charset val="134"/>
      </rPr>
      <t>32</t>
    </r>
    <r>
      <rPr>
        <sz val="12"/>
        <color theme="1"/>
        <rFont val="仿宋"/>
        <charset val="134"/>
      </rPr>
      <t> </t>
    </r>
  </si>
  <si>
    <t>政策匹配结果展示</t>
  </si>
  <si>
    <t>匹配政策结果展示并统计匹配政策数量。</t>
  </si>
  <si>
    <r>
      <rPr>
        <sz val="12"/>
        <color theme="1"/>
        <rFont val="仿宋"/>
        <charset val="134"/>
      </rPr>
      <t>33</t>
    </r>
    <r>
      <rPr>
        <sz val="12"/>
        <color theme="1"/>
        <rFont val="仿宋"/>
        <charset val="134"/>
      </rPr>
      <t> </t>
    </r>
  </si>
  <si>
    <t>动态数据联动更新</t>
  </si>
  <si>
    <t>自动关联普惠政策库与企业画像库的实时更新数据，确保匹配结果随政策修订、企业状态变化动态调整，支持手动触发重新匹配。</t>
  </si>
  <si>
    <r>
      <rPr>
        <sz val="12"/>
        <color theme="1"/>
        <rFont val="仿宋"/>
        <charset val="134"/>
      </rPr>
      <t>34</t>
    </r>
    <r>
      <rPr>
        <sz val="12"/>
        <color theme="1"/>
        <rFont val="仿宋"/>
        <charset val="134"/>
      </rPr>
      <t> </t>
    </r>
  </si>
  <si>
    <t>一键推送</t>
  </si>
  <si>
    <r>
      <rPr>
        <sz val="12"/>
        <color theme="1"/>
        <rFont val="仿宋"/>
        <charset val="134"/>
      </rPr>
      <t>支持对匹配到的政策一键推送至用户，支持单条</t>
    </r>
    <r>
      <rPr>
        <sz val="12"/>
        <color theme="1"/>
        <rFont val="仿宋"/>
        <charset val="134"/>
      </rPr>
      <t>/</t>
    </r>
    <r>
      <rPr>
        <sz val="12"/>
        <color theme="1"/>
        <rFont val="仿宋"/>
        <charset val="134"/>
      </rPr>
      <t>批量推送。同时该模块支持对多个用户进行政策推送，同时对推送记录进行管理。</t>
    </r>
  </si>
  <si>
    <r>
      <rPr>
        <sz val="12"/>
        <color theme="1"/>
        <rFont val="仿宋"/>
        <charset val="134"/>
      </rPr>
      <t>35</t>
    </r>
    <r>
      <rPr>
        <sz val="12"/>
        <color theme="1"/>
        <rFont val="仿宋"/>
        <charset val="134"/>
      </rPr>
      <t> </t>
    </r>
  </si>
  <si>
    <t>最新政策</t>
  </si>
  <si>
    <t>按发布时间排序的展示黄浦区最新政策。</t>
  </si>
  <si>
    <r>
      <rPr>
        <sz val="12"/>
        <color theme="1"/>
        <rFont val="仿宋"/>
        <charset val="134"/>
      </rPr>
      <t>36</t>
    </r>
    <r>
      <rPr>
        <sz val="12"/>
        <color theme="1"/>
        <rFont val="仿宋"/>
        <charset val="134"/>
      </rPr>
      <t> </t>
    </r>
  </si>
  <si>
    <t>特色政策</t>
  </si>
  <si>
    <t>基于政务中心工作重点与部门专项活动，动态展示高优先级政策（如申报窗口期短、扶持力度大的热点政策），通过分类标签与政策时效提醒强化政策曝光度，辅助企业快速识别短期有效、区域聚焦的政策资源，提升政策触达率与申报响应效率。</t>
  </si>
  <si>
    <r>
      <rPr>
        <sz val="12"/>
        <color theme="1"/>
        <rFont val="仿宋"/>
        <charset val="134"/>
      </rPr>
      <t>37</t>
    </r>
    <r>
      <rPr>
        <sz val="12"/>
        <color theme="1"/>
        <rFont val="仿宋"/>
        <charset val="134"/>
      </rPr>
      <t> </t>
    </r>
  </si>
  <si>
    <t>个人中心</t>
  </si>
  <si>
    <t>用户登录</t>
  </si>
  <si>
    <t>帮办登录</t>
  </si>
  <si>
    <t>对原帮办系统工作人员相关账号信息同步登录至智能政策匹配平台，实现一个账号多点登陆，同步相关数据信息。</t>
  </si>
  <si>
    <t>账号密码登录</t>
  </si>
  <si>
    <t>使用帮办人员通用账号、密码以及验证码进行登录，支持绩效统计和历史办件查询。</t>
  </si>
  <si>
    <r>
      <rPr>
        <sz val="12"/>
        <color theme="1"/>
        <rFont val="仿宋"/>
        <charset val="134"/>
      </rPr>
      <t>38</t>
    </r>
    <r>
      <rPr>
        <sz val="12"/>
        <color theme="1"/>
        <rFont val="仿宋"/>
        <charset val="134"/>
      </rPr>
      <t> </t>
    </r>
  </si>
  <si>
    <t>扫码认证</t>
  </si>
  <si>
    <t>办事人扫码</t>
  </si>
  <si>
    <t>基于系统自动生成的二维码进行快捷取号，办事人员通过手机进行扫码认证，扫码完成后将采集办事人的基础信息，包括办事人姓名、身份证号码、手机号等基础信息。</t>
  </si>
  <si>
    <t>游客认证</t>
  </si>
  <si>
    <t>支持未认证用户基础政策浏览功能。</t>
  </si>
  <si>
    <r>
      <rPr>
        <sz val="12"/>
        <color theme="1"/>
        <rFont val="仿宋"/>
        <charset val="134"/>
      </rPr>
      <t>39</t>
    </r>
    <r>
      <rPr>
        <sz val="12"/>
        <color theme="1"/>
        <rFont val="仿宋"/>
        <charset val="134"/>
      </rPr>
      <t> </t>
    </r>
  </si>
  <si>
    <t>办件档案</t>
  </si>
  <si>
    <t>支持对个人的历史办理记录查询与导出。</t>
  </si>
  <si>
    <r>
      <rPr>
        <sz val="12"/>
        <color theme="1"/>
        <rFont val="仿宋"/>
        <charset val="134"/>
      </rPr>
      <t>40</t>
    </r>
    <r>
      <rPr>
        <sz val="12"/>
        <color theme="1"/>
        <rFont val="仿宋"/>
        <charset val="134"/>
      </rPr>
      <t> </t>
    </r>
  </si>
  <si>
    <t>企业画像</t>
  </si>
  <si>
    <t>对企业信息进行动态维护，通过对接第三方权威机构数据源自动补全与更新，确保企业画像的完整性与准确性。</t>
  </si>
  <si>
    <r>
      <rPr>
        <sz val="12"/>
        <color theme="1"/>
        <rFont val="仿宋"/>
        <charset val="134"/>
      </rPr>
      <t>41</t>
    </r>
    <r>
      <rPr>
        <sz val="12"/>
        <color theme="1"/>
        <rFont val="仿宋"/>
        <charset val="134"/>
      </rPr>
      <t> </t>
    </r>
  </si>
  <si>
    <t>消息中心</t>
  </si>
  <si>
    <t>集成政策通知关键信息推送和管理服务，实现政策服务的全链路消息触达与高效处理。</t>
  </si>
  <si>
    <r>
      <rPr>
        <sz val="12"/>
        <color theme="1"/>
        <rFont val="仿宋"/>
        <charset val="134"/>
      </rPr>
      <t>42</t>
    </r>
    <r>
      <rPr>
        <sz val="12"/>
        <color theme="1"/>
        <rFont val="仿宋"/>
        <charset val="134"/>
      </rPr>
      <t> </t>
    </r>
  </si>
  <si>
    <t>数据互联互通</t>
  </si>
  <si>
    <t>对接随申办</t>
  </si>
  <si>
    <t>升级帮办系统和随申办对接，包括随申办企业云APP端黄浦旗舰店的对接。</t>
  </si>
  <si>
    <r>
      <rPr>
        <sz val="12"/>
        <color theme="1"/>
        <rFont val="仿宋"/>
        <charset val="134"/>
      </rPr>
      <t>43</t>
    </r>
    <r>
      <rPr>
        <sz val="12"/>
        <color theme="1"/>
        <rFont val="仿宋"/>
        <charset val="134"/>
      </rPr>
      <t> </t>
    </r>
  </si>
  <si>
    <t>分享办件类型数据</t>
  </si>
  <si>
    <t>开发一个帮办办件类似数量接口，需提供五个关键数据指标：帮办取号量、办不成事的数量、新设业务量、变更业务量以及注销业务量。数据将分为三种类型：（1）当天数据，提供当日的实时数据；（2）历史天数据，提供指定单日的历史数据；（3）历史范围数据，提供在指定时间段内的数据汇总。</t>
  </si>
  <si>
    <r>
      <rPr>
        <sz val="12"/>
        <color theme="1"/>
        <rFont val="仿宋"/>
        <charset val="134"/>
      </rPr>
      <t>44</t>
    </r>
    <r>
      <rPr>
        <sz val="12"/>
        <color theme="1"/>
        <rFont val="仿宋"/>
        <charset val="134"/>
      </rPr>
      <t> </t>
    </r>
  </si>
  <si>
    <t>分享帮办办不成事数据</t>
  </si>
  <si>
    <t>升级办不成事相关表结构，开发接口实时推送新增、修改、删除的办不成事数据至对接单位。</t>
  </si>
  <si>
    <t>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</si>
</sst>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2"/>
      <color theme="1"/>
      <name val="仿宋"/>
      <charset val="134"/>
    </font>
    <font>
      <sz val="12"/>
      <color theme="1"/>
      <name val="仿宋"/>
      <charset val="134"/>
    </font>
    <font>
      <sz val="12"/>
      <color theme="1"/>
      <name val="仿宋"/>
      <charset val="134"/>
    </font>
    <font>
      <sz val="12"/>
      <color rgb="FF000000"/>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9"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0" applyNumberFormat="0" applyFill="0" applyAlignment="0" applyProtection="0">
      <alignment vertical="center"/>
    </xf>
    <xf numFmtId="0" fontId="11" fillId="0" borderId="10" applyNumberFormat="0" applyFill="0" applyAlignment="0" applyProtection="0">
      <alignment vertical="center"/>
    </xf>
    <xf numFmtId="0" fontId="12" fillId="0" borderId="11" applyNumberFormat="0" applyFill="0" applyAlignment="0" applyProtection="0">
      <alignment vertical="center"/>
    </xf>
    <xf numFmtId="0" fontId="12" fillId="0" borderId="0" applyNumberFormat="0" applyFill="0" applyBorder="0" applyAlignment="0" applyProtection="0">
      <alignment vertical="center"/>
    </xf>
    <xf numFmtId="0" fontId="13" fillId="4" borderId="12" applyNumberFormat="0" applyAlignment="0" applyProtection="0">
      <alignment vertical="center"/>
    </xf>
    <xf numFmtId="0" fontId="14" fillId="5" borderId="13" applyNumberFormat="0" applyAlignment="0" applyProtection="0">
      <alignment vertical="center"/>
    </xf>
    <xf numFmtId="0" fontId="15" fillId="5" borderId="12" applyNumberFormat="0" applyAlignment="0" applyProtection="0">
      <alignment vertical="center"/>
    </xf>
    <xf numFmtId="0" fontId="16" fillId="6" borderId="14" applyNumberFormat="0" applyAlignment="0" applyProtection="0">
      <alignment vertical="center"/>
    </xf>
    <xf numFmtId="0" fontId="17" fillId="0" borderId="15" applyNumberFormat="0" applyFill="0" applyAlignment="0" applyProtection="0">
      <alignment vertical="center"/>
    </xf>
    <xf numFmtId="0" fontId="18" fillId="0" borderId="16"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23">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wrapText="1"/>
    </xf>
    <xf numFmtId="0" fontId="1" fillId="0" borderId="4" xfId="0" applyFont="1" applyBorder="1" applyAlignment="1">
      <alignment horizontal="center" vertical="center"/>
    </xf>
    <xf numFmtId="0" fontId="2" fillId="0" borderId="5" xfId="0" applyFont="1" applyBorder="1" applyAlignment="1">
      <alignment horizontal="center" vertical="center" wrapText="1" indent="2"/>
    </xf>
    <xf numFmtId="0" fontId="2" fillId="0" borderId="4" xfId="0" applyFont="1" applyBorder="1" applyAlignment="1">
      <alignment horizontal="center" vertical="center" wrapText="1"/>
    </xf>
    <xf numFmtId="0" fontId="2" fillId="0" borderId="4" xfId="0" applyFont="1" applyBorder="1" applyAlignment="1">
      <alignment horizontal="justify" vertical="center" wrapText="1"/>
    </xf>
    <xf numFmtId="0" fontId="2" fillId="0" borderId="4" xfId="0" applyFont="1" applyBorder="1" applyAlignment="1">
      <alignment horizontal="center" vertical="center"/>
    </xf>
    <xf numFmtId="0" fontId="2" fillId="0" borderId="6" xfId="0" applyFont="1" applyBorder="1" applyAlignment="1">
      <alignment horizontal="justify"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5" xfId="0" applyFont="1" applyBorder="1" applyAlignment="1">
      <alignment horizontal="center" vertical="center"/>
    </xf>
    <xf numFmtId="0" fontId="2" fillId="0" borderId="2" xfId="0" applyFont="1" applyBorder="1" applyAlignment="1">
      <alignment horizontal="center" vertical="center" wrapText="1"/>
    </xf>
    <xf numFmtId="0" fontId="2" fillId="0" borderId="8" xfId="0" applyFont="1" applyBorder="1" applyAlignment="1">
      <alignment horizontal="center" vertical="center" wrapText="1" indent="2"/>
    </xf>
    <xf numFmtId="0" fontId="2" fillId="0" borderId="5" xfId="0" applyFont="1" applyBorder="1" applyAlignment="1">
      <alignment horizontal="justify" vertical="center" wrapText="1"/>
    </xf>
    <xf numFmtId="0" fontId="3" fillId="0" borderId="4" xfId="0" applyFont="1" applyBorder="1" applyAlignment="1">
      <alignment horizontal="center" vertical="center" wrapText="1"/>
    </xf>
    <xf numFmtId="0" fontId="2" fillId="0" borderId="4" xfId="0" applyFont="1" applyBorder="1" applyAlignment="1">
      <alignment horizontal="justify" vertical="center" wrapText="1" indent="2"/>
    </xf>
    <xf numFmtId="0" fontId="4" fillId="2" borderId="5" xfId="0" applyFont="1" applyFill="1" applyBorder="1" applyAlignment="1">
      <alignment horizontal="justify" vertical="center" wrapText="1" indent="2"/>
    </xf>
    <xf numFmtId="0" fontId="2" fillId="2" borderId="5" xfId="0" applyFont="1" applyFill="1" applyBorder="1" applyAlignment="1">
      <alignment horizontal="justify" vertical="center" wrapText="1" indent="2"/>
    </xf>
    <xf numFmtId="0" fontId="4" fillId="2" borderId="4"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2"/>
  <sheetViews>
    <sheetView tabSelected="1" zoomScale="70" zoomScaleNormal="70" topLeftCell="A73" workbookViewId="0">
      <selection activeCell="F77" sqref="F77"/>
    </sheetView>
  </sheetViews>
  <sheetFormatPr defaultColWidth="9" defaultRowHeight="14" outlineLevelCol="7"/>
  <cols>
    <col min="5" max="5" width="71.3636363636364" customWidth="1"/>
    <col min="8" max="8" width="10.5454545454545" customWidth="1"/>
  </cols>
  <sheetData>
    <row r="1" ht="16.5" customHeight="1" spans="1:8">
      <c r="A1" s="1" t="s">
        <v>0</v>
      </c>
      <c r="B1" s="2" t="s">
        <v>1</v>
      </c>
      <c r="C1" s="2"/>
      <c r="D1" s="2"/>
      <c r="E1" s="2" t="s">
        <v>2</v>
      </c>
      <c r="F1" s="3" t="s">
        <v>3</v>
      </c>
      <c r="G1" s="2" t="s">
        <v>4</v>
      </c>
      <c r="H1" s="4" t="s">
        <v>5</v>
      </c>
    </row>
    <row r="2" ht="30.75" spans="1:8">
      <c r="A2" s="1"/>
      <c r="B2" s="2"/>
      <c r="C2" s="2"/>
      <c r="D2" s="2"/>
      <c r="E2" s="2"/>
      <c r="F2" s="5" t="s">
        <v>6</v>
      </c>
      <c r="G2" s="2"/>
      <c r="H2" s="6" t="s">
        <v>7</v>
      </c>
    </row>
    <row r="3" ht="90.75" spans="1:8">
      <c r="A3" s="7" t="s">
        <v>8</v>
      </c>
      <c r="B3" s="8" t="s">
        <v>9</v>
      </c>
      <c r="C3" s="8" t="s">
        <v>10</v>
      </c>
      <c r="D3" s="8"/>
      <c r="E3" s="9" t="s">
        <v>11</v>
      </c>
      <c r="F3" s="8">
        <v>0.5</v>
      </c>
      <c r="G3" s="10">
        <v>2</v>
      </c>
      <c r="H3" s="10">
        <f>G3*F3</f>
        <v>1</v>
      </c>
    </row>
    <row r="4" ht="75.75" spans="1:8">
      <c r="A4" s="7" t="s">
        <v>12</v>
      </c>
      <c r="B4" s="8"/>
      <c r="C4" s="8" t="s">
        <v>13</v>
      </c>
      <c r="D4" s="8"/>
      <c r="E4" s="9" t="s">
        <v>14</v>
      </c>
      <c r="F4" s="8">
        <v>0.5</v>
      </c>
      <c r="G4" s="10">
        <v>2</v>
      </c>
      <c r="H4" s="10">
        <f t="shared" ref="H4:H34" si="0">G4*F4</f>
        <v>1</v>
      </c>
    </row>
    <row r="5" ht="75.75" spans="1:8">
      <c r="A5" s="7" t="s">
        <v>15</v>
      </c>
      <c r="B5" s="8"/>
      <c r="C5" s="8" t="s">
        <v>16</v>
      </c>
      <c r="D5" s="8"/>
      <c r="E5" s="9" t="s">
        <v>17</v>
      </c>
      <c r="F5" s="8">
        <v>0.3</v>
      </c>
      <c r="G5" s="10">
        <v>2</v>
      </c>
      <c r="H5" s="10">
        <f t="shared" si="0"/>
        <v>0.6</v>
      </c>
    </row>
    <row r="6" ht="15.75" spans="1:8">
      <c r="A6" s="7" t="s">
        <v>18</v>
      </c>
      <c r="B6" s="8"/>
      <c r="C6" s="8" t="s">
        <v>19</v>
      </c>
      <c r="D6" s="8"/>
      <c r="E6" s="11" t="s">
        <v>20</v>
      </c>
      <c r="F6" s="8">
        <v>1</v>
      </c>
      <c r="G6" s="10">
        <v>2</v>
      </c>
      <c r="H6" s="12">
        <f t="shared" si="0"/>
        <v>2</v>
      </c>
    </row>
    <row r="7" ht="30.75" spans="1:8">
      <c r="A7" s="7"/>
      <c r="B7" s="8"/>
      <c r="C7" s="8"/>
      <c r="D7" s="8"/>
      <c r="E7" s="11" t="s">
        <v>21</v>
      </c>
      <c r="F7" s="8"/>
      <c r="G7" s="10"/>
      <c r="H7" s="13"/>
    </row>
    <row r="8" ht="30.75" spans="1:8">
      <c r="A8" s="7"/>
      <c r="B8" s="8"/>
      <c r="C8" s="8"/>
      <c r="D8" s="8"/>
      <c r="E8" s="11" t="s">
        <v>22</v>
      </c>
      <c r="F8" s="8"/>
      <c r="G8" s="10"/>
      <c r="H8" s="13"/>
    </row>
    <row r="9" ht="45.75" spans="1:8">
      <c r="A9" s="7"/>
      <c r="B9" s="8"/>
      <c r="C9" s="8"/>
      <c r="D9" s="8"/>
      <c r="E9" s="11" t="s">
        <v>23</v>
      </c>
      <c r="F9" s="8"/>
      <c r="G9" s="10"/>
      <c r="H9" s="13"/>
    </row>
    <row r="10" ht="15.75" spans="1:8">
      <c r="A10" s="7"/>
      <c r="B10" s="8"/>
      <c r="C10" s="8"/>
      <c r="D10" s="8"/>
      <c r="E10" s="11" t="s">
        <v>24</v>
      </c>
      <c r="F10" s="8"/>
      <c r="G10" s="10"/>
      <c r="H10" s="13"/>
    </row>
    <row r="11" ht="45.75" spans="1:8">
      <c r="A11" s="7"/>
      <c r="B11" s="8"/>
      <c r="C11" s="8"/>
      <c r="D11" s="8"/>
      <c r="E11" s="11" t="s">
        <v>25</v>
      </c>
      <c r="F11" s="8"/>
      <c r="G11" s="10"/>
      <c r="H11" s="13"/>
    </row>
    <row r="12" ht="15.75" spans="1:8">
      <c r="A12" s="7"/>
      <c r="B12" s="8"/>
      <c r="C12" s="8"/>
      <c r="D12" s="8"/>
      <c r="E12" s="11" t="s">
        <v>26</v>
      </c>
      <c r="F12" s="8"/>
      <c r="G12" s="10"/>
      <c r="H12" s="13"/>
    </row>
    <row r="13" ht="45.75" spans="1:8">
      <c r="A13" s="7"/>
      <c r="B13" s="8"/>
      <c r="C13" s="8"/>
      <c r="D13" s="8"/>
      <c r="E13" s="11" t="s">
        <v>27</v>
      </c>
      <c r="F13" s="8"/>
      <c r="G13" s="10"/>
      <c r="H13" s="13"/>
    </row>
    <row r="14" ht="30.75" spans="1:8">
      <c r="A14" s="7"/>
      <c r="B14" s="8"/>
      <c r="C14" s="8"/>
      <c r="D14" s="8"/>
      <c r="E14" s="11" t="s">
        <v>28</v>
      </c>
      <c r="F14" s="8"/>
      <c r="G14" s="10"/>
      <c r="H14" s="13"/>
    </row>
    <row r="15" ht="15.75" spans="1:8">
      <c r="A15" s="7"/>
      <c r="B15" s="8"/>
      <c r="C15" s="8"/>
      <c r="D15" s="8"/>
      <c r="E15" s="11" t="s">
        <v>29</v>
      </c>
      <c r="F15" s="8"/>
      <c r="G15" s="10"/>
      <c r="H15" s="13"/>
    </row>
    <row r="16" ht="75.75" spans="1:8">
      <c r="A16" s="7"/>
      <c r="B16" s="8"/>
      <c r="C16" s="8"/>
      <c r="D16" s="8"/>
      <c r="E16" s="11" t="s">
        <v>30</v>
      </c>
      <c r="F16" s="8"/>
      <c r="G16" s="10"/>
      <c r="H16" s="13"/>
    </row>
    <row r="17" ht="15.75" spans="1:8">
      <c r="A17" s="7"/>
      <c r="B17" s="8"/>
      <c r="C17" s="8"/>
      <c r="D17" s="8"/>
      <c r="E17" s="9"/>
      <c r="F17" s="8"/>
      <c r="G17" s="10"/>
      <c r="H17" s="14"/>
    </row>
    <row r="18" ht="90.75" spans="1:8">
      <c r="A18" s="7" t="s">
        <v>31</v>
      </c>
      <c r="B18" s="8"/>
      <c r="C18" s="8" t="s">
        <v>32</v>
      </c>
      <c r="D18" s="8"/>
      <c r="E18" s="9" t="s">
        <v>33</v>
      </c>
      <c r="F18" s="8">
        <v>0.5</v>
      </c>
      <c r="G18" s="10">
        <v>2</v>
      </c>
      <c r="H18" s="10">
        <f t="shared" si="0"/>
        <v>1</v>
      </c>
    </row>
    <row r="19" ht="60.75" spans="1:8">
      <c r="A19" s="7" t="s">
        <v>34</v>
      </c>
      <c r="B19" s="8"/>
      <c r="C19" s="8" t="s">
        <v>35</v>
      </c>
      <c r="D19" s="8"/>
      <c r="E19" s="9" t="s">
        <v>36</v>
      </c>
      <c r="F19" s="8">
        <v>0.2</v>
      </c>
      <c r="G19" s="10">
        <v>2</v>
      </c>
      <c r="H19" s="10">
        <f t="shared" si="0"/>
        <v>0.4</v>
      </c>
    </row>
    <row r="20" ht="60.75" spans="1:8">
      <c r="A20" s="7" t="s">
        <v>37</v>
      </c>
      <c r="B20" s="8" t="s">
        <v>38</v>
      </c>
      <c r="C20" s="8" t="s">
        <v>39</v>
      </c>
      <c r="D20" s="8"/>
      <c r="E20" s="9" t="s">
        <v>40</v>
      </c>
      <c r="F20" s="8">
        <v>1</v>
      </c>
      <c r="G20" s="10">
        <v>2</v>
      </c>
      <c r="H20" s="10">
        <f t="shared" si="0"/>
        <v>2</v>
      </c>
    </row>
    <row r="21" ht="45.75" spans="1:8">
      <c r="A21" s="7" t="s">
        <v>41</v>
      </c>
      <c r="B21" s="8"/>
      <c r="C21" s="8" t="s">
        <v>42</v>
      </c>
      <c r="D21" s="8"/>
      <c r="E21" s="9" t="s">
        <v>43</v>
      </c>
      <c r="F21" s="8">
        <v>0.2</v>
      </c>
      <c r="G21" s="10">
        <v>2</v>
      </c>
      <c r="H21" s="10">
        <f t="shared" si="0"/>
        <v>0.4</v>
      </c>
    </row>
    <row r="22" ht="30.75" spans="1:8">
      <c r="A22" s="7" t="s">
        <v>44</v>
      </c>
      <c r="B22" s="8"/>
      <c r="C22" s="8" t="s">
        <v>45</v>
      </c>
      <c r="D22" s="15" t="s">
        <v>46</v>
      </c>
      <c r="E22" s="9" t="s">
        <v>47</v>
      </c>
      <c r="F22" s="8">
        <v>0.2</v>
      </c>
      <c r="G22" s="10">
        <v>2</v>
      </c>
      <c r="H22" s="10">
        <f t="shared" si="0"/>
        <v>0.4</v>
      </c>
    </row>
    <row r="23" customHeight="1" spans="1:8">
      <c r="A23" s="16" t="s">
        <v>48</v>
      </c>
      <c r="B23" s="8"/>
      <c r="C23" s="8"/>
      <c r="D23" s="8" t="s">
        <v>49</v>
      </c>
      <c r="E23" s="9" t="s">
        <v>50</v>
      </c>
      <c r="F23" s="8">
        <v>0.3</v>
      </c>
      <c r="G23" s="10">
        <v>2</v>
      </c>
      <c r="H23" s="12">
        <f t="shared" si="0"/>
        <v>0.6</v>
      </c>
    </row>
    <row r="24" customHeight="1" spans="1:8">
      <c r="A24" s="7"/>
      <c r="B24" s="8"/>
      <c r="C24" s="8"/>
      <c r="D24" s="8"/>
      <c r="E24" s="9"/>
      <c r="F24" s="8"/>
      <c r="G24" s="10"/>
      <c r="H24" s="14"/>
    </row>
    <row r="25" ht="60.75" spans="1:8">
      <c r="A25" s="17" t="s">
        <v>51</v>
      </c>
      <c r="B25" s="8"/>
      <c r="C25" s="8"/>
      <c r="D25" s="8" t="s">
        <v>52</v>
      </c>
      <c r="E25" s="9" t="s">
        <v>53</v>
      </c>
      <c r="F25" s="8">
        <v>0.3</v>
      </c>
      <c r="G25" s="10">
        <v>2</v>
      </c>
      <c r="H25" s="10">
        <f t="shared" si="0"/>
        <v>0.6</v>
      </c>
    </row>
    <row r="26" customHeight="1" spans="1:8">
      <c r="A26" s="17" t="s">
        <v>54</v>
      </c>
      <c r="B26" s="8"/>
      <c r="C26" s="8" t="s">
        <v>55</v>
      </c>
      <c r="D26" s="8"/>
      <c r="E26" s="11" t="s">
        <v>56</v>
      </c>
      <c r="F26" s="8">
        <v>2</v>
      </c>
      <c r="G26" s="10">
        <v>2</v>
      </c>
      <c r="H26" s="12">
        <f t="shared" si="0"/>
        <v>4</v>
      </c>
    </row>
    <row r="27" customHeight="1" spans="1:8">
      <c r="A27" s="17"/>
      <c r="B27" s="8"/>
      <c r="C27" s="8"/>
      <c r="D27" s="8"/>
      <c r="E27" s="9"/>
      <c r="F27" s="8"/>
      <c r="G27" s="10"/>
      <c r="H27" s="14"/>
    </row>
    <row r="28" ht="90.75" spans="1:8">
      <c r="A28" s="17" t="s">
        <v>57</v>
      </c>
      <c r="B28" s="8"/>
      <c r="C28" s="8" t="s">
        <v>58</v>
      </c>
      <c r="D28" s="8"/>
      <c r="E28" s="9" t="s">
        <v>59</v>
      </c>
      <c r="F28" s="8">
        <v>1</v>
      </c>
      <c r="G28" s="10">
        <v>2</v>
      </c>
      <c r="H28" s="10">
        <f t="shared" si="0"/>
        <v>2</v>
      </c>
    </row>
    <row r="29" ht="120.75" spans="1:8">
      <c r="A29" s="17" t="s">
        <v>60</v>
      </c>
      <c r="B29" s="8"/>
      <c r="C29" s="8" t="s">
        <v>61</v>
      </c>
      <c r="D29" s="8"/>
      <c r="E29" s="9" t="s">
        <v>62</v>
      </c>
      <c r="F29" s="8">
        <v>0.5</v>
      </c>
      <c r="G29" s="10">
        <v>2</v>
      </c>
      <c r="H29" s="10">
        <f t="shared" si="0"/>
        <v>1</v>
      </c>
    </row>
    <row r="30" ht="90.75" spans="1:8">
      <c r="A30" s="17" t="s">
        <v>63</v>
      </c>
      <c r="B30" s="8"/>
      <c r="C30" s="8" t="s">
        <v>64</v>
      </c>
      <c r="D30" s="8"/>
      <c r="E30" s="9" t="s">
        <v>65</v>
      </c>
      <c r="F30" s="18">
        <v>4</v>
      </c>
      <c r="G30" s="10">
        <v>2</v>
      </c>
      <c r="H30" s="10">
        <f t="shared" si="0"/>
        <v>8</v>
      </c>
    </row>
    <row r="31" ht="30.75" spans="1:8">
      <c r="A31" s="17" t="s">
        <v>66</v>
      </c>
      <c r="B31" s="8"/>
      <c r="C31" s="8" t="s">
        <v>67</v>
      </c>
      <c r="D31" s="8"/>
      <c r="E31" s="9" t="s">
        <v>68</v>
      </c>
      <c r="F31" s="8">
        <v>0.5</v>
      </c>
      <c r="G31" s="10">
        <v>2</v>
      </c>
      <c r="H31" s="10">
        <f t="shared" si="0"/>
        <v>1</v>
      </c>
    </row>
    <row r="32" ht="45.75" spans="1:8">
      <c r="A32" s="17" t="s">
        <v>69</v>
      </c>
      <c r="B32" s="8" t="s">
        <v>70</v>
      </c>
      <c r="C32" s="8" t="s">
        <v>71</v>
      </c>
      <c r="D32" s="8"/>
      <c r="E32" s="9" t="s">
        <v>72</v>
      </c>
      <c r="F32" s="8">
        <v>4</v>
      </c>
      <c r="G32" s="10">
        <v>2</v>
      </c>
      <c r="H32" s="10">
        <f t="shared" si="0"/>
        <v>8</v>
      </c>
    </row>
    <row r="33" ht="45.75" spans="1:8">
      <c r="A33" s="17" t="s">
        <v>73</v>
      </c>
      <c r="B33" s="8"/>
      <c r="C33" s="8" t="s">
        <v>74</v>
      </c>
      <c r="D33" s="8"/>
      <c r="E33" s="9" t="s">
        <v>75</v>
      </c>
      <c r="F33" s="8">
        <v>3</v>
      </c>
      <c r="G33" s="10">
        <v>2</v>
      </c>
      <c r="H33" s="10">
        <f t="shared" si="0"/>
        <v>6</v>
      </c>
    </row>
    <row r="34" ht="15.75" spans="1:8">
      <c r="A34" s="7" t="s">
        <v>76</v>
      </c>
      <c r="B34" s="8" t="s">
        <v>77</v>
      </c>
      <c r="C34" s="8" t="s">
        <v>78</v>
      </c>
      <c r="D34" s="8" t="s">
        <v>79</v>
      </c>
      <c r="E34" s="11" t="s">
        <v>80</v>
      </c>
      <c r="F34" s="8">
        <v>12</v>
      </c>
      <c r="G34" s="10">
        <v>2</v>
      </c>
      <c r="H34" s="12">
        <f t="shared" si="0"/>
        <v>24</v>
      </c>
    </row>
    <row r="35" ht="30.75" spans="1:8">
      <c r="A35" s="7"/>
      <c r="B35" s="8"/>
      <c r="C35" s="8"/>
      <c r="D35" s="8"/>
      <c r="E35" s="11" t="s">
        <v>81</v>
      </c>
      <c r="F35" s="8"/>
      <c r="G35" s="10"/>
      <c r="H35" s="13"/>
    </row>
    <row r="36" ht="75.75" spans="1:8">
      <c r="A36" s="7"/>
      <c r="B36" s="8"/>
      <c r="C36" s="8"/>
      <c r="D36" s="8"/>
      <c r="E36" s="11" t="s">
        <v>82</v>
      </c>
      <c r="F36" s="8"/>
      <c r="G36" s="10"/>
      <c r="H36" s="13"/>
    </row>
    <row r="37" ht="15.75" spans="1:8">
      <c r="A37" s="7"/>
      <c r="B37" s="8"/>
      <c r="C37" s="8"/>
      <c r="D37" s="8"/>
      <c r="E37" s="11" t="s">
        <v>83</v>
      </c>
      <c r="F37" s="8"/>
      <c r="G37" s="10"/>
      <c r="H37" s="13"/>
    </row>
    <row r="38" ht="30.75" spans="1:8">
      <c r="A38" s="7"/>
      <c r="B38" s="8"/>
      <c r="C38" s="8"/>
      <c r="D38" s="8"/>
      <c r="E38" s="11" t="s">
        <v>84</v>
      </c>
      <c r="F38" s="8"/>
      <c r="G38" s="10"/>
      <c r="H38" s="13"/>
    </row>
    <row r="39" ht="45.75" spans="1:8">
      <c r="A39" s="7"/>
      <c r="B39" s="8"/>
      <c r="C39" s="8"/>
      <c r="D39" s="8"/>
      <c r="E39" s="19" t="s">
        <v>85</v>
      </c>
      <c r="F39" s="8"/>
      <c r="G39" s="10"/>
      <c r="H39" s="14"/>
    </row>
    <row r="40" ht="75.75" spans="1:8">
      <c r="A40" s="7" t="s">
        <v>86</v>
      </c>
      <c r="B40" s="8"/>
      <c r="C40" s="8"/>
      <c r="D40" s="8" t="s">
        <v>87</v>
      </c>
      <c r="E40" s="11" t="s">
        <v>88</v>
      </c>
      <c r="F40" s="8">
        <v>10</v>
      </c>
      <c r="G40" s="10">
        <v>2</v>
      </c>
      <c r="H40" s="10">
        <f>G40*F40</f>
        <v>20</v>
      </c>
    </row>
    <row r="41" ht="60.75" spans="1:8">
      <c r="A41" s="7"/>
      <c r="B41" s="8"/>
      <c r="C41" s="8"/>
      <c r="D41" s="8"/>
      <c r="E41" s="9" t="s">
        <v>89</v>
      </c>
      <c r="F41" s="8"/>
      <c r="G41" s="10"/>
      <c r="H41" s="10"/>
    </row>
    <row r="42" ht="45.75" spans="1:8">
      <c r="A42" s="7" t="s">
        <v>90</v>
      </c>
      <c r="B42" s="8"/>
      <c r="C42" s="8"/>
      <c r="D42" s="8" t="s">
        <v>91</v>
      </c>
      <c r="E42" s="9" t="s">
        <v>92</v>
      </c>
      <c r="F42" s="8">
        <v>1</v>
      </c>
      <c r="G42" s="10">
        <v>2</v>
      </c>
      <c r="H42" s="10">
        <f>G42*F42</f>
        <v>2</v>
      </c>
    </row>
    <row r="43" ht="15.75" spans="1:8">
      <c r="A43" s="7" t="s">
        <v>93</v>
      </c>
      <c r="B43" s="8"/>
      <c r="C43" s="8" t="s">
        <v>94</v>
      </c>
      <c r="D43" s="8" t="s">
        <v>95</v>
      </c>
      <c r="E43" s="11" t="s">
        <v>96</v>
      </c>
      <c r="F43" s="8">
        <v>4</v>
      </c>
      <c r="G43" s="10">
        <v>2</v>
      </c>
      <c r="H43" s="10">
        <f>G43*F43</f>
        <v>8</v>
      </c>
    </row>
    <row r="44" ht="105.75" spans="1:8">
      <c r="A44" s="7"/>
      <c r="B44" s="8"/>
      <c r="C44" s="8"/>
      <c r="D44" s="8"/>
      <c r="E44" s="11" t="s">
        <v>97</v>
      </c>
      <c r="F44" s="8"/>
      <c r="G44" s="10"/>
      <c r="H44" s="10"/>
    </row>
    <row r="45" ht="15.75" spans="1:8">
      <c r="A45" s="7"/>
      <c r="B45" s="8"/>
      <c r="C45" s="8"/>
      <c r="D45" s="8"/>
      <c r="E45" s="11" t="s">
        <v>98</v>
      </c>
      <c r="F45" s="8"/>
      <c r="G45" s="10"/>
      <c r="H45" s="10"/>
    </row>
    <row r="46" ht="45.75" spans="1:8">
      <c r="A46" s="7"/>
      <c r="B46" s="8"/>
      <c r="C46" s="8"/>
      <c r="D46" s="8"/>
      <c r="E46" s="9" t="s">
        <v>99</v>
      </c>
      <c r="F46" s="8"/>
      <c r="G46" s="10"/>
      <c r="H46" s="10"/>
    </row>
    <row r="47" ht="15.75" spans="1:8">
      <c r="A47" s="7" t="s">
        <v>100</v>
      </c>
      <c r="B47" s="8"/>
      <c r="C47" s="8"/>
      <c r="D47" s="8" t="s">
        <v>101</v>
      </c>
      <c r="E47" s="11" t="s">
        <v>102</v>
      </c>
      <c r="F47" s="8">
        <v>10</v>
      </c>
      <c r="G47" s="10">
        <v>2</v>
      </c>
      <c r="H47" s="10">
        <f>G47*F47</f>
        <v>20</v>
      </c>
    </row>
    <row r="48" ht="75.75" spans="1:8">
      <c r="A48" s="7"/>
      <c r="B48" s="8"/>
      <c r="C48" s="8"/>
      <c r="D48" s="8"/>
      <c r="E48" s="11" t="s">
        <v>103</v>
      </c>
      <c r="F48" s="8"/>
      <c r="G48" s="10"/>
      <c r="H48" s="10"/>
    </row>
    <row r="49" ht="30.75" spans="1:8">
      <c r="A49" s="7"/>
      <c r="B49" s="8"/>
      <c r="C49" s="8"/>
      <c r="D49" s="8"/>
      <c r="E49" s="11" t="s">
        <v>104</v>
      </c>
      <c r="F49" s="8"/>
      <c r="G49" s="10"/>
      <c r="H49" s="10"/>
    </row>
    <row r="50" ht="15.75" spans="1:8">
      <c r="A50" s="7"/>
      <c r="B50" s="8"/>
      <c r="C50" s="8"/>
      <c r="D50" s="8"/>
      <c r="E50" s="11" t="s">
        <v>105</v>
      </c>
      <c r="F50" s="8"/>
      <c r="G50" s="10"/>
      <c r="H50" s="10"/>
    </row>
    <row r="51" ht="60.75" spans="1:8">
      <c r="A51" s="7"/>
      <c r="B51" s="8"/>
      <c r="C51" s="8"/>
      <c r="D51" s="8"/>
      <c r="E51" s="11" t="s">
        <v>106</v>
      </c>
      <c r="F51" s="8"/>
      <c r="G51" s="10"/>
      <c r="H51" s="10"/>
    </row>
    <row r="52" ht="75.75" spans="1:8">
      <c r="A52" s="7"/>
      <c r="B52" s="8"/>
      <c r="C52" s="8"/>
      <c r="D52" s="8"/>
      <c r="E52" s="11" t="s">
        <v>107</v>
      </c>
      <c r="F52" s="8"/>
      <c r="G52" s="10"/>
      <c r="H52" s="10"/>
    </row>
    <row r="53" ht="15.75" spans="1:8">
      <c r="A53" s="7"/>
      <c r="B53" s="8"/>
      <c r="C53" s="8"/>
      <c r="D53" s="8"/>
      <c r="E53" s="11" t="s">
        <v>108</v>
      </c>
      <c r="F53" s="8"/>
      <c r="G53" s="10"/>
      <c r="H53" s="10"/>
    </row>
    <row r="54" ht="90.75" spans="1:8">
      <c r="A54" s="7"/>
      <c r="B54" s="8"/>
      <c r="C54" s="8"/>
      <c r="D54" s="8"/>
      <c r="E54" s="9" t="s">
        <v>109</v>
      </c>
      <c r="F54" s="8"/>
      <c r="G54" s="10"/>
      <c r="H54" s="10"/>
    </row>
    <row r="55" ht="45.75" spans="1:8">
      <c r="A55" s="7" t="s">
        <v>110</v>
      </c>
      <c r="B55" s="8"/>
      <c r="C55" s="8"/>
      <c r="D55" s="8" t="s">
        <v>111</v>
      </c>
      <c r="E55" s="9" t="s">
        <v>112</v>
      </c>
      <c r="F55" s="8">
        <v>10</v>
      </c>
      <c r="G55" s="10">
        <v>2</v>
      </c>
      <c r="H55" s="10">
        <f>G55*F55</f>
        <v>20</v>
      </c>
    </row>
    <row r="56" ht="90.75" spans="1:8">
      <c r="A56" s="7" t="s">
        <v>113</v>
      </c>
      <c r="B56" s="8"/>
      <c r="C56" s="8"/>
      <c r="D56" s="8" t="s">
        <v>114</v>
      </c>
      <c r="E56" s="9" t="s">
        <v>115</v>
      </c>
      <c r="F56" s="8">
        <v>4</v>
      </c>
      <c r="G56" s="10">
        <v>2</v>
      </c>
      <c r="H56" s="10">
        <f t="shared" ref="H56:H68" si="1">G56*F56</f>
        <v>8</v>
      </c>
    </row>
    <row r="57" ht="30.75" spans="1:8">
      <c r="A57" s="7" t="s">
        <v>116</v>
      </c>
      <c r="B57" s="8"/>
      <c r="C57" s="8"/>
      <c r="D57" s="8" t="s">
        <v>117</v>
      </c>
      <c r="E57" s="9" t="s">
        <v>118</v>
      </c>
      <c r="F57" s="8">
        <v>0.5</v>
      </c>
      <c r="G57" s="10">
        <v>2</v>
      </c>
      <c r="H57" s="10">
        <f t="shared" si="1"/>
        <v>1</v>
      </c>
    </row>
    <row r="58" ht="75.75" spans="1:8">
      <c r="A58" s="7" t="s">
        <v>119</v>
      </c>
      <c r="B58" s="8"/>
      <c r="C58" s="8"/>
      <c r="D58" s="8" t="s">
        <v>120</v>
      </c>
      <c r="E58" s="9" t="s">
        <v>121</v>
      </c>
      <c r="F58" s="8">
        <v>0.5</v>
      </c>
      <c r="G58" s="10">
        <v>2</v>
      </c>
      <c r="H58" s="10">
        <f t="shared" si="1"/>
        <v>1</v>
      </c>
    </row>
    <row r="59" ht="30.75" spans="1:8">
      <c r="A59" s="7" t="s">
        <v>122</v>
      </c>
      <c r="B59" s="8"/>
      <c r="C59" s="8" t="s">
        <v>77</v>
      </c>
      <c r="D59" s="8" t="s">
        <v>123</v>
      </c>
      <c r="E59" s="9" t="s">
        <v>124</v>
      </c>
      <c r="F59" s="8">
        <v>0.5</v>
      </c>
      <c r="G59" s="10">
        <v>2</v>
      </c>
      <c r="H59" s="10">
        <f t="shared" si="1"/>
        <v>1</v>
      </c>
    </row>
    <row r="60" ht="45.75" spans="1:8">
      <c r="A60" s="7" t="s">
        <v>125</v>
      </c>
      <c r="B60" s="8"/>
      <c r="C60" s="8"/>
      <c r="D60" s="8" t="s">
        <v>126</v>
      </c>
      <c r="E60" s="9" t="s">
        <v>127</v>
      </c>
      <c r="F60" s="8">
        <v>1</v>
      </c>
      <c r="G60" s="10">
        <v>2</v>
      </c>
      <c r="H60" s="10">
        <f t="shared" si="1"/>
        <v>2</v>
      </c>
    </row>
    <row r="61" ht="30.75" spans="1:8">
      <c r="A61" s="7" t="s">
        <v>128</v>
      </c>
      <c r="B61" s="8"/>
      <c r="C61" s="8"/>
      <c r="D61" s="8" t="s">
        <v>129</v>
      </c>
      <c r="E61" s="9" t="s">
        <v>130</v>
      </c>
      <c r="F61" s="8">
        <v>8</v>
      </c>
      <c r="G61" s="10">
        <v>2</v>
      </c>
      <c r="H61" s="10">
        <f t="shared" si="1"/>
        <v>16</v>
      </c>
    </row>
    <row r="62" ht="45.75" spans="1:8">
      <c r="A62" s="7" t="s">
        <v>131</v>
      </c>
      <c r="B62" s="8"/>
      <c r="C62" s="8"/>
      <c r="D62" s="8" t="s">
        <v>132</v>
      </c>
      <c r="E62" s="9" t="s">
        <v>133</v>
      </c>
      <c r="F62" s="8">
        <v>5</v>
      </c>
      <c r="G62" s="10">
        <v>2</v>
      </c>
      <c r="H62" s="10">
        <f t="shared" si="1"/>
        <v>10</v>
      </c>
    </row>
    <row r="63" ht="45.75" spans="1:8">
      <c r="A63" s="7" t="s">
        <v>134</v>
      </c>
      <c r="B63" s="8"/>
      <c r="C63" s="8"/>
      <c r="D63" s="8" t="s">
        <v>135</v>
      </c>
      <c r="E63" s="9" t="s">
        <v>136</v>
      </c>
      <c r="F63" s="8">
        <v>1</v>
      </c>
      <c r="G63" s="10">
        <v>2</v>
      </c>
      <c r="H63" s="10">
        <f t="shared" si="1"/>
        <v>2</v>
      </c>
    </row>
    <row r="64" ht="45.75" spans="1:8">
      <c r="A64" s="7" t="s">
        <v>137</v>
      </c>
      <c r="B64" s="8"/>
      <c r="C64" s="8"/>
      <c r="D64" s="8" t="s">
        <v>138</v>
      </c>
      <c r="E64" s="9" t="s">
        <v>139</v>
      </c>
      <c r="F64" s="8">
        <v>3</v>
      </c>
      <c r="G64" s="10">
        <v>2</v>
      </c>
      <c r="H64" s="10">
        <f t="shared" si="1"/>
        <v>6</v>
      </c>
    </row>
    <row r="65" ht="30.75" spans="1:8">
      <c r="A65" s="7" t="s">
        <v>140</v>
      </c>
      <c r="B65" s="8"/>
      <c r="C65" s="8"/>
      <c r="D65" s="8" t="s">
        <v>141</v>
      </c>
      <c r="E65" s="9" t="s">
        <v>142</v>
      </c>
      <c r="F65" s="8">
        <v>2</v>
      </c>
      <c r="G65" s="10">
        <v>2</v>
      </c>
      <c r="H65" s="10">
        <f t="shared" si="1"/>
        <v>4</v>
      </c>
    </row>
    <row r="66" ht="16.25" spans="1:8">
      <c r="A66" s="7" t="s">
        <v>143</v>
      </c>
      <c r="B66" s="8"/>
      <c r="C66" s="8" t="s">
        <v>144</v>
      </c>
      <c r="D66" s="8"/>
      <c r="E66" s="9" t="s">
        <v>145</v>
      </c>
      <c r="F66" s="8">
        <v>0.5</v>
      </c>
      <c r="G66" s="10">
        <v>2</v>
      </c>
      <c r="H66" s="10">
        <f t="shared" si="1"/>
        <v>1</v>
      </c>
    </row>
    <row r="67" ht="60.75" spans="1:8">
      <c r="A67" s="7" t="s">
        <v>146</v>
      </c>
      <c r="B67" s="8"/>
      <c r="C67" s="8" t="s">
        <v>147</v>
      </c>
      <c r="D67" s="8"/>
      <c r="E67" s="9" t="s">
        <v>148</v>
      </c>
      <c r="F67" s="8">
        <v>1</v>
      </c>
      <c r="G67" s="10">
        <v>2</v>
      </c>
      <c r="H67" s="10">
        <f t="shared" si="1"/>
        <v>2</v>
      </c>
    </row>
    <row r="68" ht="15.75" spans="1:8">
      <c r="A68" s="7" t="s">
        <v>149</v>
      </c>
      <c r="B68" s="8"/>
      <c r="C68" s="8" t="s">
        <v>150</v>
      </c>
      <c r="D68" s="15" t="s">
        <v>151</v>
      </c>
      <c r="E68" s="11" t="s">
        <v>152</v>
      </c>
      <c r="F68" s="8">
        <v>2</v>
      </c>
      <c r="G68" s="10">
        <v>2</v>
      </c>
      <c r="H68" s="10">
        <f t="shared" si="1"/>
        <v>4</v>
      </c>
    </row>
    <row r="69" ht="30.75" spans="1:8">
      <c r="A69" s="7"/>
      <c r="B69" s="8"/>
      <c r="C69" s="8"/>
      <c r="D69" s="15"/>
      <c r="E69" s="11" t="s">
        <v>153</v>
      </c>
      <c r="F69" s="8"/>
      <c r="G69" s="10"/>
      <c r="H69" s="10"/>
    </row>
    <row r="70" ht="15.75" spans="1:8">
      <c r="A70" s="7"/>
      <c r="B70" s="8"/>
      <c r="C70" s="8"/>
      <c r="D70" s="15"/>
      <c r="E70" s="11" t="s">
        <v>154</v>
      </c>
      <c r="F70" s="8"/>
      <c r="G70" s="10"/>
      <c r="H70" s="10"/>
    </row>
    <row r="71" ht="30.75" spans="1:8">
      <c r="A71" s="7"/>
      <c r="B71" s="8"/>
      <c r="C71" s="8"/>
      <c r="D71" s="15"/>
      <c r="E71" s="9" t="s">
        <v>155</v>
      </c>
      <c r="F71" s="8"/>
      <c r="G71" s="10"/>
      <c r="H71" s="10"/>
    </row>
    <row r="72" ht="15.75" spans="1:8">
      <c r="A72" s="7" t="s">
        <v>156</v>
      </c>
      <c r="B72" s="8"/>
      <c r="C72" s="8"/>
      <c r="D72" s="8" t="s">
        <v>157</v>
      </c>
      <c r="E72" s="11" t="s">
        <v>158</v>
      </c>
      <c r="F72" s="8">
        <v>1</v>
      </c>
      <c r="G72" s="10">
        <v>2</v>
      </c>
      <c r="H72" s="10">
        <f>G72*F72</f>
        <v>2</v>
      </c>
    </row>
    <row r="73" ht="45.75" spans="1:8">
      <c r="A73" s="7"/>
      <c r="B73" s="8"/>
      <c r="C73" s="8"/>
      <c r="D73" s="8"/>
      <c r="E73" s="11" t="s">
        <v>159</v>
      </c>
      <c r="F73" s="8"/>
      <c r="G73" s="10"/>
      <c r="H73" s="10"/>
    </row>
    <row r="74" ht="15.75" spans="1:8">
      <c r="A74" s="7"/>
      <c r="B74" s="8"/>
      <c r="C74" s="8"/>
      <c r="D74" s="8"/>
      <c r="E74" s="11" t="s">
        <v>160</v>
      </c>
      <c r="F74" s="8"/>
      <c r="G74" s="10"/>
      <c r="H74" s="10"/>
    </row>
    <row r="75" ht="15.75" spans="1:8">
      <c r="A75" s="7"/>
      <c r="B75" s="8"/>
      <c r="C75" s="8"/>
      <c r="D75" s="8"/>
      <c r="E75" s="9" t="s">
        <v>161</v>
      </c>
      <c r="F75" s="8"/>
      <c r="G75" s="10"/>
      <c r="H75" s="10"/>
    </row>
    <row r="76" ht="30.75" spans="1:8">
      <c r="A76" s="7" t="s">
        <v>162</v>
      </c>
      <c r="B76" s="8"/>
      <c r="C76" s="8"/>
      <c r="D76" s="8" t="s">
        <v>163</v>
      </c>
      <c r="E76" s="9" t="s">
        <v>164</v>
      </c>
      <c r="F76" s="8">
        <v>0.5</v>
      </c>
      <c r="G76" s="10">
        <v>2</v>
      </c>
      <c r="H76" s="10">
        <f>G76*F76</f>
        <v>1</v>
      </c>
    </row>
    <row r="77" ht="30.75" spans="1:8">
      <c r="A77" s="7" t="s">
        <v>165</v>
      </c>
      <c r="B77" s="8"/>
      <c r="C77" s="8"/>
      <c r="D77" s="8" t="s">
        <v>166</v>
      </c>
      <c r="E77" s="9" t="s">
        <v>167</v>
      </c>
      <c r="F77" s="8">
        <v>2.5</v>
      </c>
      <c r="G77" s="10">
        <v>2</v>
      </c>
      <c r="H77" s="10">
        <f t="shared" ref="H77:H81" si="2">G77*F77</f>
        <v>5</v>
      </c>
    </row>
    <row r="78" ht="30.75" spans="1:8">
      <c r="A78" s="7" t="s">
        <v>168</v>
      </c>
      <c r="B78" s="8"/>
      <c r="C78" s="8"/>
      <c r="D78" s="8" t="s">
        <v>169</v>
      </c>
      <c r="E78" s="9" t="s">
        <v>170</v>
      </c>
      <c r="F78" s="8">
        <v>0.5</v>
      </c>
      <c r="G78" s="10">
        <v>2</v>
      </c>
      <c r="H78" s="10">
        <f t="shared" si="2"/>
        <v>1</v>
      </c>
    </row>
    <row r="79" ht="30.75" spans="1:8">
      <c r="A79" s="7" t="s">
        <v>171</v>
      </c>
      <c r="B79" s="8" t="s">
        <v>172</v>
      </c>
      <c r="C79" s="8" t="s">
        <v>173</v>
      </c>
      <c r="D79" s="8"/>
      <c r="E79" s="9" t="s">
        <v>174</v>
      </c>
      <c r="F79" s="8">
        <v>2</v>
      </c>
      <c r="G79" s="10">
        <v>2</v>
      </c>
      <c r="H79" s="10">
        <f t="shared" si="2"/>
        <v>4</v>
      </c>
    </row>
    <row r="80" ht="75.75" spans="1:8">
      <c r="A80" s="7" t="s">
        <v>175</v>
      </c>
      <c r="B80" s="8"/>
      <c r="C80" s="8" t="s">
        <v>176</v>
      </c>
      <c r="D80" s="8"/>
      <c r="E80" s="9" t="s">
        <v>177</v>
      </c>
      <c r="F80" s="8">
        <v>1</v>
      </c>
      <c r="G80" s="10">
        <v>2</v>
      </c>
      <c r="H80" s="10">
        <f t="shared" si="2"/>
        <v>2</v>
      </c>
    </row>
    <row r="81" ht="30.75" spans="1:8">
      <c r="A81" s="7" t="s">
        <v>178</v>
      </c>
      <c r="B81" s="8"/>
      <c r="C81" s="8" t="s">
        <v>179</v>
      </c>
      <c r="D81" s="8"/>
      <c r="E81" s="9" t="s">
        <v>180</v>
      </c>
      <c r="F81" s="8">
        <v>1</v>
      </c>
      <c r="G81" s="10">
        <v>2</v>
      </c>
      <c r="H81" s="10">
        <f t="shared" si="2"/>
        <v>2</v>
      </c>
    </row>
    <row r="82" ht="15.75" spans="1:8">
      <c r="A82" s="20" t="s">
        <v>181</v>
      </c>
      <c r="B82" s="21"/>
      <c r="C82" s="21"/>
      <c r="D82" s="21"/>
      <c r="E82" s="21"/>
      <c r="F82" s="21"/>
      <c r="G82" s="21"/>
      <c r="H82" s="22">
        <f>SUM(H3:H81)</f>
        <v>209</v>
      </c>
    </row>
  </sheetData>
  <mergeCells count="80">
    <mergeCell ref="C3:D3"/>
    <mergeCell ref="C4:D4"/>
    <mergeCell ref="C5:D5"/>
    <mergeCell ref="C18:D18"/>
    <mergeCell ref="C19:D19"/>
    <mergeCell ref="C20:D20"/>
    <mergeCell ref="C21:D21"/>
    <mergeCell ref="C28:D28"/>
    <mergeCell ref="C29:D29"/>
    <mergeCell ref="C30:D30"/>
    <mergeCell ref="C31:D31"/>
    <mergeCell ref="C32:D32"/>
    <mergeCell ref="C33:D33"/>
    <mergeCell ref="C66:D66"/>
    <mergeCell ref="C67:D67"/>
    <mergeCell ref="C79:D79"/>
    <mergeCell ref="C80:D80"/>
    <mergeCell ref="C81:D81"/>
    <mergeCell ref="A82:G82"/>
    <mergeCell ref="A1:A2"/>
    <mergeCell ref="A6:A17"/>
    <mergeCell ref="A23:A24"/>
    <mergeCell ref="A26:A27"/>
    <mergeCell ref="A34:A39"/>
    <mergeCell ref="A40:A41"/>
    <mergeCell ref="A43:A46"/>
    <mergeCell ref="A47:A54"/>
    <mergeCell ref="A68:A71"/>
    <mergeCell ref="A72:A75"/>
    <mergeCell ref="B3:B19"/>
    <mergeCell ref="B20:B31"/>
    <mergeCell ref="B32:B33"/>
    <mergeCell ref="B34:B78"/>
    <mergeCell ref="B79:B81"/>
    <mergeCell ref="C22:C25"/>
    <mergeCell ref="C34:C42"/>
    <mergeCell ref="C43:C58"/>
    <mergeCell ref="C59:C65"/>
    <mergeCell ref="C68:C78"/>
    <mergeCell ref="D23:D24"/>
    <mergeCell ref="D34:D39"/>
    <mergeCell ref="D40:D41"/>
    <mergeCell ref="D43:D46"/>
    <mergeCell ref="D47:D54"/>
    <mergeCell ref="D68:D71"/>
    <mergeCell ref="D72:D75"/>
    <mergeCell ref="E1:E2"/>
    <mergeCell ref="E23:E24"/>
    <mergeCell ref="E26:E27"/>
    <mergeCell ref="F6:F17"/>
    <mergeCell ref="F23:F24"/>
    <mergeCell ref="F26:F27"/>
    <mergeCell ref="F34:F39"/>
    <mergeCell ref="F40:F41"/>
    <mergeCell ref="F43:F46"/>
    <mergeCell ref="F47:F54"/>
    <mergeCell ref="F68:F71"/>
    <mergeCell ref="F72:F75"/>
    <mergeCell ref="G1:G2"/>
    <mergeCell ref="G6:G17"/>
    <mergeCell ref="G23:G24"/>
    <mergeCell ref="G26:G27"/>
    <mergeCell ref="G34:G39"/>
    <mergeCell ref="G40:G41"/>
    <mergeCell ref="G43:G46"/>
    <mergeCell ref="G47:G54"/>
    <mergeCell ref="G68:G71"/>
    <mergeCell ref="G72:G75"/>
    <mergeCell ref="H6:H17"/>
    <mergeCell ref="H23:H24"/>
    <mergeCell ref="H26:H27"/>
    <mergeCell ref="H34:H39"/>
    <mergeCell ref="H40:H41"/>
    <mergeCell ref="H43:H46"/>
    <mergeCell ref="H47:H54"/>
    <mergeCell ref="H68:H71"/>
    <mergeCell ref="H72:H75"/>
    <mergeCell ref="B1:D2"/>
    <mergeCell ref="C6:D17"/>
    <mergeCell ref="C26:D27"/>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2"/>
  <sheetViews>
    <sheetView zoomScale="55" zoomScaleNormal="55" topLeftCell="A51" workbookViewId="0">
      <selection activeCell="F3" sqref="F3"/>
    </sheetView>
  </sheetViews>
  <sheetFormatPr defaultColWidth="9" defaultRowHeight="14" outlineLevelCol="7"/>
  <cols>
    <col min="5" max="5" width="71.3636363636364" customWidth="1"/>
    <col min="8" max="8" width="10.5454545454545" customWidth="1"/>
  </cols>
  <sheetData>
    <row r="1" ht="16.5" customHeight="1" spans="1:8">
      <c r="A1" s="1" t="s">
        <v>0</v>
      </c>
      <c r="B1" s="2" t="s">
        <v>1</v>
      </c>
      <c r="C1" s="2"/>
      <c r="D1" s="2"/>
      <c r="E1" s="2" t="s">
        <v>2</v>
      </c>
      <c r="F1" s="3" t="s">
        <v>3</v>
      </c>
      <c r="G1" s="2" t="s">
        <v>4</v>
      </c>
      <c r="H1" s="4" t="s">
        <v>5</v>
      </c>
    </row>
    <row r="2" ht="30.75" spans="1:8">
      <c r="A2" s="1"/>
      <c r="B2" s="2"/>
      <c r="C2" s="2"/>
      <c r="D2" s="2"/>
      <c r="E2" s="2"/>
      <c r="F2" s="5" t="s">
        <v>6</v>
      </c>
      <c r="G2" s="2"/>
      <c r="H2" s="6" t="s">
        <v>7</v>
      </c>
    </row>
    <row r="3" ht="90.75" spans="1:8">
      <c r="A3" s="7" t="s">
        <v>8</v>
      </c>
      <c r="B3" s="8" t="s">
        <v>9</v>
      </c>
      <c r="C3" s="8" t="s">
        <v>10</v>
      </c>
      <c r="D3" s="8"/>
      <c r="E3" s="9" t="s">
        <v>11</v>
      </c>
      <c r="F3" s="8">
        <v>0.5</v>
      </c>
      <c r="G3" s="10">
        <v>2</v>
      </c>
      <c r="H3" s="10">
        <f t="shared" ref="H3:H6" si="0">G3*F3</f>
        <v>1</v>
      </c>
    </row>
    <row r="4" ht="75.75" spans="1:8">
      <c r="A4" s="7" t="s">
        <v>12</v>
      </c>
      <c r="B4" s="8"/>
      <c r="C4" s="8" t="s">
        <v>13</v>
      </c>
      <c r="D4" s="8"/>
      <c r="E4" s="9" t="s">
        <v>14</v>
      </c>
      <c r="F4" s="8">
        <v>0.5</v>
      </c>
      <c r="G4" s="10">
        <v>2</v>
      </c>
      <c r="H4" s="10">
        <f t="shared" si="0"/>
        <v>1</v>
      </c>
    </row>
    <row r="5" ht="75.75" spans="1:8">
      <c r="A5" s="7" t="s">
        <v>15</v>
      </c>
      <c r="B5" s="8"/>
      <c r="C5" s="8" t="s">
        <v>16</v>
      </c>
      <c r="D5" s="8"/>
      <c r="E5" s="9" t="s">
        <v>17</v>
      </c>
      <c r="F5" s="8">
        <v>0.3</v>
      </c>
      <c r="G5" s="10">
        <v>2</v>
      </c>
      <c r="H5" s="10">
        <f t="shared" si="0"/>
        <v>0.6</v>
      </c>
    </row>
    <row r="6" ht="15.75" spans="1:8">
      <c r="A6" s="7" t="s">
        <v>18</v>
      </c>
      <c r="B6" s="8"/>
      <c r="C6" s="8" t="s">
        <v>19</v>
      </c>
      <c r="D6" s="8"/>
      <c r="E6" s="11" t="s">
        <v>20</v>
      </c>
      <c r="F6" s="8">
        <v>1</v>
      </c>
      <c r="G6" s="10">
        <v>2</v>
      </c>
      <c r="H6" s="12">
        <f t="shared" si="0"/>
        <v>2</v>
      </c>
    </row>
    <row r="7" ht="30.75" spans="1:8">
      <c r="A7" s="7"/>
      <c r="B7" s="8"/>
      <c r="C7" s="8"/>
      <c r="D7" s="8"/>
      <c r="E7" s="11" t="s">
        <v>21</v>
      </c>
      <c r="F7" s="8"/>
      <c r="G7" s="10"/>
      <c r="H7" s="13"/>
    </row>
    <row r="8" ht="30.75" spans="1:8">
      <c r="A8" s="7"/>
      <c r="B8" s="8"/>
      <c r="C8" s="8"/>
      <c r="D8" s="8"/>
      <c r="E8" s="11" t="s">
        <v>22</v>
      </c>
      <c r="F8" s="8"/>
      <c r="G8" s="10"/>
      <c r="H8" s="13"/>
    </row>
    <row r="9" ht="45.75" spans="1:8">
      <c r="A9" s="7"/>
      <c r="B9" s="8"/>
      <c r="C9" s="8"/>
      <c r="D9" s="8"/>
      <c r="E9" s="11" t="s">
        <v>23</v>
      </c>
      <c r="F9" s="8"/>
      <c r="G9" s="10"/>
      <c r="H9" s="13"/>
    </row>
    <row r="10" ht="15.75" spans="1:8">
      <c r="A10" s="7"/>
      <c r="B10" s="8"/>
      <c r="C10" s="8"/>
      <c r="D10" s="8"/>
      <c r="E10" s="11" t="s">
        <v>24</v>
      </c>
      <c r="F10" s="8"/>
      <c r="G10" s="10"/>
      <c r="H10" s="13"/>
    </row>
    <row r="11" ht="45.75" spans="1:8">
      <c r="A11" s="7"/>
      <c r="B11" s="8"/>
      <c r="C11" s="8"/>
      <c r="D11" s="8"/>
      <c r="E11" s="11" t="s">
        <v>25</v>
      </c>
      <c r="F11" s="8"/>
      <c r="G11" s="10"/>
      <c r="H11" s="13"/>
    </row>
    <row r="12" ht="15.75" spans="1:8">
      <c r="A12" s="7"/>
      <c r="B12" s="8"/>
      <c r="C12" s="8"/>
      <c r="D12" s="8"/>
      <c r="E12" s="11" t="s">
        <v>26</v>
      </c>
      <c r="F12" s="8"/>
      <c r="G12" s="10"/>
      <c r="H12" s="13"/>
    </row>
    <row r="13" ht="45.75" spans="1:8">
      <c r="A13" s="7"/>
      <c r="B13" s="8"/>
      <c r="C13" s="8"/>
      <c r="D13" s="8"/>
      <c r="E13" s="11" t="s">
        <v>27</v>
      </c>
      <c r="F13" s="8"/>
      <c r="G13" s="10"/>
      <c r="H13" s="13"/>
    </row>
    <row r="14" ht="30.75" spans="1:8">
      <c r="A14" s="7"/>
      <c r="B14" s="8"/>
      <c r="C14" s="8"/>
      <c r="D14" s="8"/>
      <c r="E14" s="11" t="s">
        <v>28</v>
      </c>
      <c r="F14" s="8"/>
      <c r="G14" s="10"/>
      <c r="H14" s="13"/>
    </row>
    <row r="15" ht="15.75" spans="1:8">
      <c r="A15" s="7"/>
      <c r="B15" s="8"/>
      <c r="C15" s="8"/>
      <c r="D15" s="8"/>
      <c r="E15" s="11" t="s">
        <v>29</v>
      </c>
      <c r="F15" s="8"/>
      <c r="G15" s="10"/>
      <c r="H15" s="13"/>
    </row>
    <row r="16" ht="75.75" spans="1:8">
      <c r="A16" s="7"/>
      <c r="B16" s="8"/>
      <c r="C16" s="8"/>
      <c r="D16" s="8"/>
      <c r="E16" s="11" t="s">
        <v>30</v>
      </c>
      <c r="F16" s="8"/>
      <c r="G16" s="10"/>
      <c r="H16" s="13"/>
    </row>
    <row r="17" ht="15.75" spans="1:8">
      <c r="A17" s="7"/>
      <c r="B17" s="8"/>
      <c r="C17" s="8"/>
      <c r="D17" s="8"/>
      <c r="E17" s="9"/>
      <c r="F17" s="8"/>
      <c r="G17" s="10"/>
      <c r="H17" s="14"/>
    </row>
    <row r="18" ht="90.75" spans="1:8">
      <c r="A18" s="7" t="s">
        <v>31</v>
      </c>
      <c r="B18" s="8"/>
      <c r="C18" s="8" t="s">
        <v>32</v>
      </c>
      <c r="D18" s="8"/>
      <c r="E18" s="9" t="s">
        <v>33</v>
      </c>
      <c r="F18" s="8">
        <v>0.5</v>
      </c>
      <c r="G18" s="10">
        <v>2</v>
      </c>
      <c r="H18" s="10">
        <f t="shared" ref="H18:H23" si="1">G18*F18</f>
        <v>1</v>
      </c>
    </row>
    <row r="19" ht="60.75" spans="1:8">
      <c r="A19" s="7" t="s">
        <v>34</v>
      </c>
      <c r="B19" s="8"/>
      <c r="C19" s="8" t="s">
        <v>35</v>
      </c>
      <c r="D19" s="8"/>
      <c r="E19" s="9" t="s">
        <v>36</v>
      </c>
      <c r="F19" s="8">
        <v>0.2</v>
      </c>
      <c r="G19" s="10">
        <v>2</v>
      </c>
      <c r="H19" s="10">
        <f t="shared" si="1"/>
        <v>0.4</v>
      </c>
    </row>
    <row r="20" ht="60.75" spans="1:8">
      <c r="A20" s="7" t="s">
        <v>37</v>
      </c>
      <c r="B20" s="8" t="s">
        <v>38</v>
      </c>
      <c r="C20" s="8" t="s">
        <v>39</v>
      </c>
      <c r="D20" s="8"/>
      <c r="E20" s="9" t="s">
        <v>40</v>
      </c>
      <c r="F20" s="8">
        <v>1</v>
      </c>
      <c r="G20" s="10">
        <v>2</v>
      </c>
      <c r="H20" s="10">
        <f t="shared" si="1"/>
        <v>2</v>
      </c>
    </row>
    <row r="21" ht="45.75" spans="1:8">
      <c r="A21" s="7" t="s">
        <v>41</v>
      </c>
      <c r="B21" s="8"/>
      <c r="C21" s="8" t="s">
        <v>42</v>
      </c>
      <c r="D21" s="8"/>
      <c r="E21" s="9" t="s">
        <v>43</v>
      </c>
      <c r="F21" s="8">
        <v>0.2</v>
      </c>
      <c r="G21" s="10">
        <v>2</v>
      </c>
      <c r="H21" s="10">
        <f t="shared" si="1"/>
        <v>0.4</v>
      </c>
    </row>
    <row r="22" ht="30.75" spans="1:8">
      <c r="A22" s="7" t="s">
        <v>44</v>
      </c>
      <c r="B22" s="8"/>
      <c r="C22" s="8" t="s">
        <v>45</v>
      </c>
      <c r="D22" s="15" t="s">
        <v>46</v>
      </c>
      <c r="E22" s="9" t="s">
        <v>47</v>
      </c>
      <c r="F22" s="8">
        <v>0.2</v>
      </c>
      <c r="G22" s="10">
        <v>2</v>
      </c>
      <c r="H22" s="10">
        <f t="shared" si="1"/>
        <v>0.4</v>
      </c>
    </row>
    <row r="23" customHeight="1" spans="1:8">
      <c r="A23" s="16" t="s">
        <v>48</v>
      </c>
      <c r="B23" s="8"/>
      <c r="C23" s="8"/>
      <c r="D23" s="8" t="s">
        <v>49</v>
      </c>
      <c r="E23" s="9" t="s">
        <v>50</v>
      </c>
      <c r="F23" s="8">
        <v>0.3</v>
      </c>
      <c r="G23" s="10">
        <v>2</v>
      </c>
      <c r="H23" s="12">
        <f t="shared" si="1"/>
        <v>0.6</v>
      </c>
    </row>
    <row r="24" customHeight="1" spans="1:8">
      <c r="A24" s="7"/>
      <c r="B24" s="8"/>
      <c r="C24" s="8"/>
      <c r="D24" s="8"/>
      <c r="E24" s="9"/>
      <c r="F24" s="8"/>
      <c r="G24" s="10"/>
      <c r="H24" s="14"/>
    </row>
    <row r="25" ht="60.75" spans="1:8">
      <c r="A25" s="17" t="s">
        <v>51</v>
      </c>
      <c r="B25" s="8"/>
      <c r="C25" s="8"/>
      <c r="D25" s="8" t="s">
        <v>52</v>
      </c>
      <c r="E25" s="9" t="s">
        <v>53</v>
      </c>
      <c r="F25" s="8">
        <v>0.3</v>
      </c>
      <c r="G25" s="10">
        <v>2</v>
      </c>
      <c r="H25" s="10">
        <f t="shared" ref="H25:H34" si="2">G25*F25</f>
        <v>0.6</v>
      </c>
    </row>
    <row r="26" customHeight="1" spans="1:8">
      <c r="A26" s="17" t="s">
        <v>54</v>
      </c>
      <c r="B26" s="8"/>
      <c r="C26" s="8" t="s">
        <v>55</v>
      </c>
      <c r="D26" s="8"/>
      <c r="E26" s="11" t="s">
        <v>56</v>
      </c>
      <c r="F26" s="8">
        <v>2</v>
      </c>
      <c r="G26" s="10">
        <v>2</v>
      </c>
      <c r="H26" s="12">
        <f t="shared" si="2"/>
        <v>4</v>
      </c>
    </row>
    <row r="27" customHeight="1" spans="1:8">
      <c r="A27" s="17"/>
      <c r="B27" s="8"/>
      <c r="C27" s="8"/>
      <c r="D27" s="8"/>
      <c r="E27" s="9"/>
      <c r="F27" s="8"/>
      <c r="G27" s="10"/>
      <c r="H27" s="14"/>
    </row>
    <row r="28" ht="90.75" spans="1:8">
      <c r="A28" s="17" t="s">
        <v>57</v>
      </c>
      <c r="B28" s="8"/>
      <c r="C28" s="8" t="s">
        <v>58</v>
      </c>
      <c r="D28" s="8"/>
      <c r="E28" s="9" t="s">
        <v>59</v>
      </c>
      <c r="F28" s="8">
        <v>1</v>
      </c>
      <c r="G28" s="10">
        <v>2</v>
      </c>
      <c r="H28" s="10">
        <f t="shared" si="2"/>
        <v>2</v>
      </c>
    </row>
    <row r="29" ht="120.75" spans="1:8">
      <c r="A29" s="17" t="s">
        <v>60</v>
      </c>
      <c r="B29" s="8"/>
      <c r="C29" s="8" t="s">
        <v>61</v>
      </c>
      <c r="D29" s="8"/>
      <c r="E29" s="9" t="s">
        <v>62</v>
      </c>
      <c r="F29" s="8">
        <v>0.5</v>
      </c>
      <c r="G29" s="10">
        <v>2</v>
      </c>
      <c r="H29" s="10">
        <f t="shared" si="2"/>
        <v>1</v>
      </c>
    </row>
    <row r="30" ht="90.75" spans="1:8">
      <c r="A30" s="17" t="s">
        <v>63</v>
      </c>
      <c r="B30" s="8"/>
      <c r="C30" s="8" t="s">
        <v>64</v>
      </c>
      <c r="D30" s="8"/>
      <c r="E30" s="9" t="s">
        <v>65</v>
      </c>
      <c r="F30" s="18">
        <v>4</v>
      </c>
      <c r="G30" s="10">
        <v>2</v>
      </c>
      <c r="H30" s="10">
        <f t="shared" si="2"/>
        <v>8</v>
      </c>
    </row>
    <row r="31" ht="30.75" spans="1:8">
      <c r="A31" s="17" t="s">
        <v>66</v>
      </c>
      <c r="B31" s="8"/>
      <c r="C31" s="8" t="s">
        <v>67</v>
      </c>
      <c r="D31" s="8"/>
      <c r="E31" s="9" t="s">
        <v>68</v>
      </c>
      <c r="F31" s="8">
        <v>0.5</v>
      </c>
      <c r="G31" s="10">
        <v>2</v>
      </c>
      <c r="H31" s="10">
        <f t="shared" si="2"/>
        <v>1</v>
      </c>
    </row>
    <row r="32" ht="45.75" spans="1:8">
      <c r="A32" s="17" t="s">
        <v>69</v>
      </c>
      <c r="B32" s="8" t="s">
        <v>70</v>
      </c>
      <c r="C32" s="8" t="s">
        <v>71</v>
      </c>
      <c r="D32" s="8"/>
      <c r="E32" s="9" t="s">
        <v>72</v>
      </c>
      <c r="F32" s="8">
        <v>4</v>
      </c>
      <c r="G32" s="10">
        <v>2</v>
      </c>
      <c r="H32" s="10">
        <f t="shared" si="2"/>
        <v>8</v>
      </c>
    </row>
    <row r="33" ht="45.75" spans="1:8">
      <c r="A33" s="17" t="s">
        <v>73</v>
      </c>
      <c r="B33" s="8"/>
      <c r="C33" s="8" t="s">
        <v>74</v>
      </c>
      <c r="D33" s="8"/>
      <c r="E33" s="9" t="s">
        <v>75</v>
      </c>
      <c r="F33" s="8">
        <v>3</v>
      </c>
      <c r="G33" s="10">
        <v>2</v>
      </c>
      <c r="H33" s="10">
        <f t="shared" si="2"/>
        <v>6</v>
      </c>
    </row>
    <row r="34" ht="15.75" spans="1:8">
      <c r="A34" s="7" t="s">
        <v>76</v>
      </c>
      <c r="B34" s="8" t="s">
        <v>77</v>
      </c>
      <c r="C34" s="8" t="s">
        <v>78</v>
      </c>
      <c r="D34" s="8" t="s">
        <v>79</v>
      </c>
      <c r="E34" s="11" t="s">
        <v>80</v>
      </c>
      <c r="F34" s="8">
        <v>12</v>
      </c>
      <c r="G34" s="10">
        <v>2</v>
      </c>
      <c r="H34" s="12">
        <f t="shared" si="2"/>
        <v>24</v>
      </c>
    </row>
    <row r="35" ht="30.75" spans="1:8">
      <c r="A35" s="7"/>
      <c r="B35" s="8"/>
      <c r="C35" s="8"/>
      <c r="D35" s="8"/>
      <c r="E35" s="11" t="s">
        <v>81</v>
      </c>
      <c r="F35" s="8"/>
      <c r="G35" s="10"/>
      <c r="H35" s="13"/>
    </row>
    <row r="36" ht="75.75" spans="1:8">
      <c r="A36" s="7"/>
      <c r="B36" s="8"/>
      <c r="C36" s="8"/>
      <c r="D36" s="8"/>
      <c r="E36" s="11" t="s">
        <v>82</v>
      </c>
      <c r="F36" s="8"/>
      <c r="G36" s="10"/>
      <c r="H36" s="13"/>
    </row>
    <row r="37" ht="15.75" spans="1:8">
      <c r="A37" s="7"/>
      <c r="B37" s="8"/>
      <c r="C37" s="8"/>
      <c r="D37" s="8"/>
      <c r="E37" s="11" t="s">
        <v>83</v>
      </c>
      <c r="F37" s="8"/>
      <c r="G37" s="10"/>
      <c r="H37" s="13"/>
    </row>
    <row r="38" ht="30.75" spans="1:8">
      <c r="A38" s="7"/>
      <c r="B38" s="8"/>
      <c r="C38" s="8"/>
      <c r="D38" s="8"/>
      <c r="E38" s="11" t="s">
        <v>84</v>
      </c>
      <c r="F38" s="8"/>
      <c r="G38" s="10"/>
      <c r="H38" s="13"/>
    </row>
    <row r="39" ht="45.75" spans="1:8">
      <c r="A39" s="7"/>
      <c r="B39" s="8"/>
      <c r="C39" s="8"/>
      <c r="D39" s="8"/>
      <c r="E39" s="19" t="s">
        <v>85</v>
      </c>
      <c r="F39" s="8"/>
      <c r="G39" s="10"/>
      <c r="H39" s="14"/>
    </row>
    <row r="40" ht="75.75" spans="1:8">
      <c r="A40" s="7" t="s">
        <v>86</v>
      </c>
      <c r="B40" s="8"/>
      <c r="C40" s="8"/>
      <c r="D40" s="8" t="s">
        <v>87</v>
      </c>
      <c r="E40" s="11" t="s">
        <v>88</v>
      </c>
      <c r="F40" s="8">
        <v>8</v>
      </c>
      <c r="G40" s="10">
        <v>2</v>
      </c>
      <c r="H40" s="10">
        <f t="shared" ref="H40:H43" si="3">G40*F40</f>
        <v>16</v>
      </c>
    </row>
    <row r="41" ht="60.75" spans="1:8">
      <c r="A41" s="7"/>
      <c r="B41" s="8"/>
      <c r="C41" s="8"/>
      <c r="D41" s="8"/>
      <c r="E41" s="9" t="s">
        <v>89</v>
      </c>
      <c r="F41" s="8"/>
      <c r="G41" s="10"/>
      <c r="H41" s="10"/>
    </row>
    <row r="42" ht="45.75" spans="1:8">
      <c r="A42" s="7" t="s">
        <v>90</v>
      </c>
      <c r="B42" s="8"/>
      <c r="C42" s="8"/>
      <c r="D42" s="8" t="s">
        <v>91</v>
      </c>
      <c r="E42" s="9" t="s">
        <v>92</v>
      </c>
      <c r="F42" s="8">
        <v>1</v>
      </c>
      <c r="G42" s="10">
        <v>2</v>
      </c>
      <c r="H42" s="10">
        <f t="shared" si="3"/>
        <v>2</v>
      </c>
    </row>
    <row r="43" ht="15.75" spans="1:8">
      <c r="A43" s="7" t="s">
        <v>93</v>
      </c>
      <c r="B43" s="8"/>
      <c r="C43" s="8" t="s">
        <v>94</v>
      </c>
      <c r="D43" s="8" t="s">
        <v>95</v>
      </c>
      <c r="E43" s="11" t="s">
        <v>96</v>
      </c>
      <c r="F43" s="8">
        <v>2</v>
      </c>
      <c r="G43" s="10">
        <v>2</v>
      </c>
      <c r="H43" s="10">
        <f t="shared" si="3"/>
        <v>4</v>
      </c>
    </row>
    <row r="44" ht="105.75" spans="1:8">
      <c r="A44" s="7"/>
      <c r="B44" s="8"/>
      <c r="C44" s="8"/>
      <c r="D44" s="8"/>
      <c r="E44" s="11" t="s">
        <v>97</v>
      </c>
      <c r="F44" s="8"/>
      <c r="G44" s="10"/>
      <c r="H44" s="10"/>
    </row>
    <row r="45" ht="15.75" spans="1:8">
      <c r="A45" s="7"/>
      <c r="B45" s="8"/>
      <c r="C45" s="8"/>
      <c r="D45" s="8"/>
      <c r="E45" s="11" t="s">
        <v>98</v>
      </c>
      <c r="F45" s="8"/>
      <c r="G45" s="10"/>
      <c r="H45" s="10"/>
    </row>
    <row r="46" ht="45.75" spans="1:8">
      <c r="A46" s="7"/>
      <c r="B46" s="8"/>
      <c r="C46" s="8"/>
      <c r="D46" s="8"/>
      <c r="E46" s="9" t="s">
        <v>99</v>
      </c>
      <c r="F46" s="8"/>
      <c r="G46" s="10"/>
      <c r="H46" s="10"/>
    </row>
    <row r="47" ht="15.75" spans="1:8">
      <c r="A47" s="7" t="s">
        <v>100</v>
      </c>
      <c r="B47" s="8"/>
      <c r="C47" s="8"/>
      <c r="D47" s="8" t="s">
        <v>101</v>
      </c>
      <c r="E47" s="11" t="s">
        <v>102</v>
      </c>
      <c r="F47" s="8">
        <v>10</v>
      </c>
      <c r="G47" s="10">
        <v>2</v>
      </c>
      <c r="H47" s="10">
        <f>G47*F47</f>
        <v>20</v>
      </c>
    </row>
    <row r="48" ht="75.75" spans="1:8">
      <c r="A48" s="7"/>
      <c r="B48" s="8"/>
      <c r="C48" s="8"/>
      <c r="D48" s="8"/>
      <c r="E48" s="11" t="s">
        <v>103</v>
      </c>
      <c r="F48" s="8"/>
      <c r="G48" s="10"/>
      <c r="H48" s="10"/>
    </row>
    <row r="49" ht="30.75" spans="1:8">
      <c r="A49" s="7"/>
      <c r="B49" s="8"/>
      <c r="C49" s="8"/>
      <c r="D49" s="8"/>
      <c r="E49" s="11" t="s">
        <v>104</v>
      </c>
      <c r="F49" s="8"/>
      <c r="G49" s="10"/>
      <c r="H49" s="10"/>
    </row>
    <row r="50" ht="15.75" spans="1:8">
      <c r="A50" s="7"/>
      <c r="B50" s="8"/>
      <c r="C50" s="8"/>
      <c r="D50" s="8"/>
      <c r="E50" s="11" t="s">
        <v>105</v>
      </c>
      <c r="F50" s="8"/>
      <c r="G50" s="10"/>
      <c r="H50" s="10"/>
    </row>
    <row r="51" ht="60.75" spans="1:8">
      <c r="A51" s="7"/>
      <c r="B51" s="8"/>
      <c r="C51" s="8"/>
      <c r="D51" s="8"/>
      <c r="E51" s="11" t="s">
        <v>106</v>
      </c>
      <c r="F51" s="8"/>
      <c r="G51" s="10"/>
      <c r="H51" s="10"/>
    </row>
    <row r="52" ht="75.75" spans="1:8">
      <c r="A52" s="7"/>
      <c r="B52" s="8"/>
      <c r="C52" s="8"/>
      <c r="D52" s="8"/>
      <c r="E52" s="11" t="s">
        <v>107</v>
      </c>
      <c r="F52" s="8"/>
      <c r="G52" s="10"/>
      <c r="H52" s="10"/>
    </row>
    <row r="53" ht="15.75" spans="1:8">
      <c r="A53" s="7"/>
      <c r="B53" s="8"/>
      <c r="C53" s="8"/>
      <c r="D53" s="8"/>
      <c r="E53" s="11" t="s">
        <v>108</v>
      </c>
      <c r="F53" s="8"/>
      <c r="G53" s="10"/>
      <c r="H53" s="10"/>
    </row>
    <row r="54" ht="90.75" spans="1:8">
      <c r="A54" s="7"/>
      <c r="B54" s="8"/>
      <c r="C54" s="8"/>
      <c r="D54" s="8"/>
      <c r="E54" s="9" t="s">
        <v>109</v>
      </c>
      <c r="F54" s="8"/>
      <c r="G54" s="10"/>
      <c r="H54" s="10"/>
    </row>
    <row r="55" ht="45.75" spans="1:8">
      <c r="A55" s="7" t="s">
        <v>110</v>
      </c>
      <c r="B55" s="8"/>
      <c r="C55" s="8"/>
      <c r="D55" s="8" t="s">
        <v>111</v>
      </c>
      <c r="E55" s="9" t="s">
        <v>112</v>
      </c>
      <c r="F55" s="8">
        <v>10</v>
      </c>
      <c r="G55" s="10">
        <v>2</v>
      </c>
      <c r="H55" s="10">
        <f t="shared" ref="H55:H68" si="4">G55*F55</f>
        <v>20</v>
      </c>
    </row>
    <row r="56" ht="90.75" spans="1:8">
      <c r="A56" s="7" t="s">
        <v>113</v>
      </c>
      <c r="B56" s="8"/>
      <c r="C56" s="8"/>
      <c r="D56" s="8" t="s">
        <v>114</v>
      </c>
      <c r="E56" s="9" t="s">
        <v>115</v>
      </c>
      <c r="F56" s="8">
        <v>4</v>
      </c>
      <c r="G56" s="10">
        <v>2</v>
      </c>
      <c r="H56" s="10">
        <f t="shared" si="4"/>
        <v>8</v>
      </c>
    </row>
    <row r="57" ht="30.75" spans="1:8">
      <c r="A57" s="7" t="s">
        <v>116</v>
      </c>
      <c r="B57" s="8"/>
      <c r="C57" s="8"/>
      <c r="D57" s="8" t="s">
        <v>117</v>
      </c>
      <c r="E57" s="9" t="s">
        <v>118</v>
      </c>
      <c r="F57" s="8">
        <v>0.5</v>
      </c>
      <c r="G57" s="10">
        <v>2</v>
      </c>
      <c r="H57" s="10">
        <f t="shared" si="4"/>
        <v>1</v>
      </c>
    </row>
    <row r="58" ht="75.75" spans="1:8">
      <c r="A58" s="7" t="s">
        <v>119</v>
      </c>
      <c r="B58" s="8"/>
      <c r="C58" s="8"/>
      <c r="D58" s="8" t="s">
        <v>120</v>
      </c>
      <c r="E58" s="9" t="s">
        <v>121</v>
      </c>
      <c r="F58" s="8">
        <v>0.5</v>
      </c>
      <c r="G58" s="10">
        <v>2</v>
      </c>
      <c r="H58" s="10">
        <f t="shared" si="4"/>
        <v>1</v>
      </c>
    </row>
    <row r="59" ht="30.75" spans="1:8">
      <c r="A59" s="7" t="s">
        <v>122</v>
      </c>
      <c r="B59" s="8"/>
      <c r="C59" s="8" t="s">
        <v>77</v>
      </c>
      <c r="D59" s="8" t="s">
        <v>123</v>
      </c>
      <c r="E59" s="9" t="s">
        <v>124</v>
      </c>
      <c r="F59" s="8">
        <v>0.5</v>
      </c>
      <c r="G59" s="10">
        <v>2</v>
      </c>
      <c r="H59" s="10">
        <f t="shared" si="4"/>
        <v>1</v>
      </c>
    </row>
    <row r="60" ht="45.75" spans="1:8">
      <c r="A60" s="7" t="s">
        <v>125</v>
      </c>
      <c r="B60" s="8"/>
      <c r="C60" s="8"/>
      <c r="D60" s="8" t="s">
        <v>126</v>
      </c>
      <c r="E60" s="9" t="s">
        <v>127</v>
      </c>
      <c r="F60" s="8">
        <v>1</v>
      </c>
      <c r="G60" s="10">
        <v>2</v>
      </c>
      <c r="H60" s="10">
        <f t="shared" si="4"/>
        <v>2</v>
      </c>
    </row>
    <row r="61" ht="30.75" spans="1:8">
      <c r="A61" s="7" t="s">
        <v>128</v>
      </c>
      <c r="B61" s="8"/>
      <c r="C61" s="8"/>
      <c r="D61" s="8" t="s">
        <v>129</v>
      </c>
      <c r="E61" s="9" t="s">
        <v>130</v>
      </c>
      <c r="F61" s="8">
        <v>7</v>
      </c>
      <c r="G61" s="10">
        <v>2</v>
      </c>
      <c r="H61" s="10">
        <f t="shared" si="4"/>
        <v>14</v>
      </c>
    </row>
    <row r="62" ht="45.75" spans="1:8">
      <c r="A62" s="7" t="s">
        <v>131</v>
      </c>
      <c r="B62" s="8"/>
      <c r="C62" s="8"/>
      <c r="D62" s="8" t="s">
        <v>132</v>
      </c>
      <c r="E62" s="9" t="s">
        <v>133</v>
      </c>
      <c r="F62" s="8">
        <v>5</v>
      </c>
      <c r="G62" s="10">
        <v>2</v>
      </c>
      <c r="H62" s="10">
        <f t="shared" si="4"/>
        <v>10</v>
      </c>
    </row>
    <row r="63" ht="45.75" spans="1:8">
      <c r="A63" s="7" t="s">
        <v>134</v>
      </c>
      <c r="B63" s="8"/>
      <c r="C63" s="8"/>
      <c r="D63" s="8" t="s">
        <v>135</v>
      </c>
      <c r="E63" s="9" t="s">
        <v>136</v>
      </c>
      <c r="F63" s="8">
        <v>1</v>
      </c>
      <c r="G63" s="10">
        <v>2</v>
      </c>
      <c r="H63" s="10">
        <f t="shared" si="4"/>
        <v>2</v>
      </c>
    </row>
    <row r="64" ht="45.75" spans="1:8">
      <c r="A64" s="7" t="s">
        <v>137</v>
      </c>
      <c r="B64" s="8"/>
      <c r="C64" s="8"/>
      <c r="D64" s="8" t="s">
        <v>138</v>
      </c>
      <c r="E64" s="9" t="s">
        <v>139</v>
      </c>
      <c r="F64" s="8">
        <v>3</v>
      </c>
      <c r="G64" s="10">
        <v>2</v>
      </c>
      <c r="H64" s="10">
        <f t="shared" si="4"/>
        <v>6</v>
      </c>
    </row>
    <row r="65" ht="30.75" spans="1:8">
      <c r="A65" s="7" t="s">
        <v>140</v>
      </c>
      <c r="B65" s="8"/>
      <c r="C65" s="8"/>
      <c r="D65" s="8" t="s">
        <v>141</v>
      </c>
      <c r="E65" s="9" t="s">
        <v>142</v>
      </c>
      <c r="F65" s="8">
        <v>2</v>
      </c>
      <c r="G65" s="10">
        <v>2</v>
      </c>
      <c r="H65" s="10">
        <f t="shared" si="4"/>
        <v>4</v>
      </c>
    </row>
    <row r="66" ht="16.25" spans="1:8">
      <c r="A66" s="7" t="s">
        <v>143</v>
      </c>
      <c r="B66" s="8"/>
      <c r="C66" s="8" t="s">
        <v>144</v>
      </c>
      <c r="D66" s="8"/>
      <c r="E66" s="9" t="s">
        <v>145</v>
      </c>
      <c r="F66" s="8">
        <v>0.5</v>
      </c>
      <c r="G66" s="10">
        <v>2</v>
      </c>
      <c r="H66" s="10">
        <f t="shared" si="4"/>
        <v>1</v>
      </c>
    </row>
    <row r="67" ht="60.75" spans="1:8">
      <c r="A67" s="7" t="s">
        <v>146</v>
      </c>
      <c r="B67" s="8"/>
      <c r="C67" s="8" t="s">
        <v>147</v>
      </c>
      <c r="D67" s="8"/>
      <c r="E67" s="9" t="s">
        <v>148</v>
      </c>
      <c r="F67" s="8">
        <v>1</v>
      </c>
      <c r="G67" s="10">
        <v>2</v>
      </c>
      <c r="H67" s="10">
        <f t="shared" si="4"/>
        <v>2</v>
      </c>
    </row>
    <row r="68" ht="15.75" spans="1:8">
      <c r="A68" s="7" t="s">
        <v>149</v>
      </c>
      <c r="B68" s="8"/>
      <c r="C68" s="8" t="s">
        <v>150</v>
      </c>
      <c r="D68" s="15" t="s">
        <v>151</v>
      </c>
      <c r="E68" s="11" t="s">
        <v>152</v>
      </c>
      <c r="F68" s="8">
        <v>2</v>
      </c>
      <c r="G68" s="10">
        <v>2</v>
      </c>
      <c r="H68" s="10">
        <f t="shared" si="4"/>
        <v>4</v>
      </c>
    </row>
    <row r="69" ht="30.75" spans="1:8">
      <c r="A69" s="7"/>
      <c r="B69" s="8"/>
      <c r="C69" s="8"/>
      <c r="D69" s="15"/>
      <c r="E69" s="11" t="s">
        <v>153</v>
      </c>
      <c r="F69" s="8"/>
      <c r="G69" s="10"/>
      <c r="H69" s="10"/>
    </row>
    <row r="70" ht="15.75" spans="1:8">
      <c r="A70" s="7"/>
      <c r="B70" s="8"/>
      <c r="C70" s="8"/>
      <c r="D70" s="15"/>
      <c r="E70" s="11" t="s">
        <v>154</v>
      </c>
      <c r="F70" s="8"/>
      <c r="G70" s="10"/>
      <c r="H70" s="10"/>
    </row>
    <row r="71" ht="30.75" spans="1:8">
      <c r="A71" s="7"/>
      <c r="B71" s="8"/>
      <c r="C71" s="8"/>
      <c r="D71" s="15"/>
      <c r="E71" s="9" t="s">
        <v>155</v>
      </c>
      <c r="F71" s="8"/>
      <c r="G71" s="10"/>
      <c r="H71" s="10"/>
    </row>
    <row r="72" ht="15.75" spans="1:8">
      <c r="A72" s="7" t="s">
        <v>156</v>
      </c>
      <c r="B72" s="8"/>
      <c r="C72" s="8"/>
      <c r="D72" s="8" t="s">
        <v>157</v>
      </c>
      <c r="E72" s="11" t="s">
        <v>158</v>
      </c>
      <c r="F72" s="8">
        <v>1</v>
      </c>
      <c r="G72" s="10">
        <v>2</v>
      </c>
      <c r="H72" s="10">
        <f t="shared" ref="H72:H81" si="5">G72*F72</f>
        <v>2</v>
      </c>
    </row>
    <row r="73" ht="45.75" spans="1:8">
      <c r="A73" s="7"/>
      <c r="B73" s="8"/>
      <c r="C73" s="8"/>
      <c r="D73" s="8"/>
      <c r="E73" s="11" t="s">
        <v>159</v>
      </c>
      <c r="F73" s="8"/>
      <c r="G73" s="10"/>
      <c r="H73" s="10"/>
    </row>
    <row r="74" ht="15.75" spans="1:8">
      <c r="A74" s="7"/>
      <c r="B74" s="8"/>
      <c r="C74" s="8"/>
      <c r="D74" s="8"/>
      <c r="E74" s="11" t="s">
        <v>160</v>
      </c>
      <c r="F74" s="8"/>
      <c r="G74" s="10"/>
      <c r="H74" s="10"/>
    </row>
    <row r="75" ht="15.75" spans="1:8">
      <c r="A75" s="7"/>
      <c r="B75" s="8"/>
      <c r="C75" s="8"/>
      <c r="D75" s="8"/>
      <c r="E75" s="9" t="s">
        <v>161</v>
      </c>
      <c r="F75" s="8"/>
      <c r="G75" s="10"/>
      <c r="H75" s="10"/>
    </row>
    <row r="76" ht="30.75" spans="1:8">
      <c r="A76" s="7" t="s">
        <v>162</v>
      </c>
      <c r="B76" s="8"/>
      <c r="C76" s="8"/>
      <c r="D76" s="8" t="s">
        <v>163</v>
      </c>
      <c r="E76" s="9" t="s">
        <v>164</v>
      </c>
      <c r="F76" s="8">
        <v>0.5</v>
      </c>
      <c r="G76" s="10">
        <v>2</v>
      </c>
      <c r="H76" s="10">
        <f t="shared" si="5"/>
        <v>1</v>
      </c>
    </row>
    <row r="77" ht="30.75" spans="1:8">
      <c r="A77" s="7" t="s">
        <v>165</v>
      </c>
      <c r="B77" s="8"/>
      <c r="C77" s="8"/>
      <c r="D77" s="8" t="s">
        <v>166</v>
      </c>
      <c r="E77" s="9" t="s">
        <v>167</v>
      </c>
      <c r="F77" s="8">
        <v>2</v>
      </c>
      <c r="G77" s="10">
        <v>2</v>
      </c>
      <c r="H77" s="10">
        <f t="shared" si="5"/>
        <v>4</v>
      </c>
    </row>
    <row r="78" ht="30.75" spans="1:8">
      <c r="A78" s="7" t="s">
        <v>168</v>
      </c>
      <c r="B78" s="8"/>
      <c r="C78" s="8"/>
      <c r="D78" s="8" t="s">
        <v>169</v>
      </c>
      <c r="E78" s="9" t="s">
        <v>170</v>
      </c>
      <c r="F78" s="8">
        <v>0.5</v>
      </c>
      <c r="G78" s="10">
        <v>2</v>
      </c>
      <c r="H78" s="10">
        <f t="shared" si="5"/>
        <v>1</v>
      </c>
    </row>
    <row r="79" ht="30.75" spans="1:8">
      <c r="A79" s="7" t="s">
        <v>171</v>
      </c>
      <c r="B79" s="8" t="s">
        <v>172</v>
      </c>
      <c r="C79" s="8" t="s">
        <v>173</v>
      </c>
      <c r="D79" s="8"/>
      <c r="E79" s="9" t="s">
        <v>174</v>
      </c>
      <c r="F79" s="8">
        <v>2</v>
      </c>
      <c r="G79" s="10">
        <v>2</v>
      </c>
      <c r="H79" s="10">
        <f t="shared" si="5"/>
        <v>4</v>
      </c>
    </row>
    <row r="80" ht="75.75" spans="1:8">
      <c r="A80" s="7" t="s">
        <v>175</v>
      </c>
      <c r="B80" s="8"/>
      <c r="C80" s="8" t="s">
        <v>176</v>
      </c>
      <c r="D80" s="8"/>
      <c r="E80" s="9" t="s">
        <v>177</v>
      </c>
      <c r="F80" s="8">
        <v>1</v>
      </c>
      <c r="G80" s="10">
        <v>2</v>
      </c>
      <c r="H80" s="10">
        <f t="shared" si="5"/>
        <v>2</v>
      </c>
    </row>
    <row r="81" ht="30.75" spans="1:8">
      <c r="A81" s="7" t="s">
        <v>178</v>
      </c>
      <c r="B81" s="8"/>
      <c r="C81" s="8" t="s">
        <v>179</v>
      </c>
      <c r="D81" s="8"/>
      <c r="E81" s="9" t="s">
        <v>180</v>
      </c>
      <c r="F81" s="8">
        <v>1</v>
      </c>
      <c r="G81" s="10">
        <v>2</v>
      </c>
      <c r="H81" s="10">
        <f t="shared" si="5"/>
        <v>2</v>
      </c>
    </row>
    <row r="82" ht="15.75" spans="1:8">
      <c r="A82" s="20" t="s">
        <v>181</v>
      </c>
      <c r="B82" s="21"/>
      <c r="C82" s="21"/>
      <c r="D82" s="21"/>
      <c r="E82" s="21"/>
      <c r="F82" s="21"/>
      <c r="G82" s="21"/>
      <c r="H82" s="22">
        <f>SUM(H3:H81)</f>
        <v>198</v>
      </c>
    </row>
  </sheetData>
  <mergeCells count="80">
    <mergeCell ref="C3:D3"/>
    <mergeCell ref="C4:D4"/>
    <mergeCell ref="C5:D5"/>
    <mergeCell ref="C18:D18"/>
    <mergeCell ref="C19:D19"/>
    <mergeCell ref="C20:D20"/>
    <mergeCell ref="C21:D21"/>
    <mergeCell ref="C28:D28"/>
    <mergeCell ref="C29:D29"/>
    <mergeCell ref="C30:D30"/>
    <mergeCell ref="C31:D31"/>
    <mergeCell ref="C32:D32"/>
    <mergeCell ref="C33:D33"/>
    <mergeCell ref="C66:D66"/>
    <mergeCell ref="C67:D67"/>
    <mergeCell ref="C79:D79"/>
    <mergeCell ref="C80:D80"/>
    <mergeCell ref="C81:D81"/>
    <mergeCell ref="A82:G82"/>
    <mergeCell ref="A1:A2"/>
    <mergeCell ref="A6:A17"/>
    <mergeCell ref="A23:A24"/>
    <mergeCell ref="A26:A27"/>
    <mergeCell ref="A34:A39"/>
    <mergeCell ref="A40:A41"/>
    <mergeCell ref="A43:A46"/>
    <mergeCell ref="A47:A54"/>
    <mergeCell ref="A68:A71"/>
    <mergeCell ref="A72:A75"/>
    <mergeCell ref="B3:B19"/>
    <mergeCell ref="B20:B31"/>
    <mergeCell ref="B32:B33"/>
    <mergeCell ref="B34:B78"/>
    <mergeCell ref="B79:B81"/>
    <mergeCell ref="C22:C25"/>
    <mergeCell ref="C34:C42"/>
    <mergeCell ref="C43:C58"/>
    <mergeCell ref="C59:C65"/>
    <mergeCell ref="C68:C78"/>
    <mergeCell ref="D23:D24"/>
    <mergeCell ref="D34:D39"/>
    <mergeCell ref="D40:D41"/>
    <mergeCell ref="D43:D46"/>
    <mergeCell ref="D47:D54"/>
    <mergeCell ref="D68:D71"/>
    <mergeCell ref="D72:D75"/>
    <mergeCell ref="E1:E2"/>
    <mergeCell ref="E23:E24"/>
    <mergeCell ref="E26:E27"/>
    <mergeCell ref="F6:F17"/>
    <mergeCell ref="F23:F24"/>
    <mergeCell ref="F26:F27"/>
    <mergeCell ref="F34:F39"/>
    <mergeCell ref="F40:F41"/>
    <mergeCell ref="F43:F46"/>
    <mergeCell ref="F47:F54"/>
    <mergeCell ref="F68:F71"/>
    <mergeCell ref="F72:F75"/>
    <mergeCell ref="G1:G2"/>
    <mergeCell ref="G6:G17"/>
    <mergeCell ref="G23:G24"/>
    <mergeCell ref="G26:G27"/>
    <mergeCell ref="G34:G39"/>
    <mergeCell ref="G40:G41"/>
    <mergeCell ref="G43:G46"/>
    <mergeCell ref="G47:G54"/>
    <mergeCell ref="G68:G71"/>
    <mergeCell ref="G72:G75"/>
    <mergeCell ref="H6:H17"/>
    <mergeCell ref="H23:H24"/>
    <mergeCell ref="H26:H27"/>
    <mergeCell ref="H34:H39"/>
    <mergeCell ref="H40:H41"/>
    <mergeCell ref="H43:H46"/>
    <mergeCell ref="H47:H54"/>
    <mergeCell ref="H68:H71"/>
    <mergeCell ref="H72:H75"/>
    <mergeCell ref="B1:D2"/>
    <mergeCell ref="C6:D17"/>
    <mergeCell ref="C26:D27"/>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Sheet1</vt:lpstr>
      <vt:lpstr>Sheet1 (2)</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malong</dc:creator>
  <cp:lastModifiedBy>马龙</cp:lastModifiedBy>
  <dcterms:created xsi:type="dcterms:W3CDTF">2023-05-12T11:15:00Z</dcterms:created>
  <dcterms:modified xsi:type="dcterms:W3CDTF">2025-08-21T08:36:32Z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7DEC5B6C14E84DF78CD76EA29BD0AB05_12</vt:lpwstr>
  </property>
</Properties>
</file>